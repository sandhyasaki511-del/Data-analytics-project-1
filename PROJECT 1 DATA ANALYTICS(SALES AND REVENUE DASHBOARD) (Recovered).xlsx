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50" activeTab="2"/>
  </bookViews>
  <sheets>
    <sheet name="Sheet2" sheetId="3" r:id="rId1"/>
    <sheet name="pivot" sheetId="2" r:id="rId2"/>
    <sheet name="Dashboard" sheetId="4" r:id="rId3"/>
    <sheet name="Data" sheetId="1" r:id="rId4"/>
  </sheet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L501" i="1" l="1"/>
  <c r="K501" i="1"/>
  <c r="J501" i="1"/>
  <c r="L500" i="1"/>
  <c r="K500" i="1"/>
  <c r="J500" i="1"/>
  <c r="L499" i="1"/>
  <c r="K499" i="1"/>
  <c r="J499" i="1"/>
  <c r="L498" i="1"/>
  <c r="K498" i="1"/>
  <c r="J498" i="1"/>
  <c r="L497" i="1"/>
  <c r="K497" i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J469" i="1"/>
  <c r="L468" i="1"/>
  <c r="K468" i="1"/>
  <c r="J468" i="1"/>
  <c r="L467" i="1"/>
  <c r="K467" i="1"/>
  <c r="J467" i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L452" i="1"/>
  <c r="K452" i="1"/>
  <c r="J452" i="1"/>
  <c r="L451" i="1"/>
  <c r="K451" i="1"/>
  <c r="J451" i="1"/>
  <c r="L450" i="1"/>
  <c r="K450" i="1"/>
  <c r="J450" i="1"/>
  <c r="L449" i="1"/>
  <c r="K449" i="1"/>
  <c r="J449" i="1"/>
  <c r="L448" i="1"/>
  <c r="K448" i="1"/>
  <c r="J448" i="1"/>
  <c r="L447" i="1"/>
  <c r="K447" i="1"/>
  <c r="J447" i="1"/>
  <c r="L446" i="1"/>
  <c r="K446" i="1"/>
  <c r="J446" i="1"/>
  <c r="L445" i="1"/>
  <c r="K445" i="1"/>
  <c r="J445" i="1"/>
  <c r="L444" i="1"/>
  <c r="K444" i="1"/>
  <c r="J444" i="1"/>
  <c r="L443" i="1"/>
  <c r="K443" i="1"/>
  <c r="J443" i="1"/>
  <c r="L442" i="1"/>
  <c r="K442" i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L432" i="1"/>
  <c r="K432" i="1"/>
  <c r="J432" i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</calcChain>
</file>

<file path=xl/sharedStrings.xml><?xml version="1.0" encoding="utf-8"?>
<sst xmlns="http://schemas.openxmlformats.org/spreadsheetml/2006/main" count="2426" uniqueCount="568">
  <si>
    <t>OrderDate</t>
  </si>
  <si>
    <t>Region</t>
  </si>
  <si>
    <t>Category</t>
  </si>
  <si>
    <t>Product</t>
  </si>
  <si>
    <t>Quantity</t>
  </si>
  <si>
    <t>UnitPrice</t>
  </si>
  <si>
    <t>Revenue</t>
  </si>
  <si>
    <t>Profit</t>
  </si>
  <si>
    <t>ORD0001</t>
  </si>
  <si>
    <t>West</t>
  </si>
  <si>
    <t>Office Supplies</t>
  </si>
  <si>
    <t>Pen</t>
  </si>
  <si>
    <t>ORD0002</t>
  </si>
  <si>
    <t>South</t>
  </si>
  <si>
    <t>ORD0003</t>
  </si>
  <si>
    <t>Furniture</t>
  </si>
  <si>
    <t>Desk</t>
  </si>
  <si>
    <t>ORD0004</t>
  </si>
  <si>
    <t>North</t>
  </si>
  <si>
    <t>Chair</t>
  </si>
  <si>
    <t>ORD0005</t>
  </si>
  <si>
    <t>Electronics</t>
  </si>
  <si>
    <t>Monitor</t>
  </si>
  <si>
    <t>ORD0006</t>
  </si>
  <si>
    <t>Mouse</t>
  </si>
  <si>
    <t>ORD0007</t>
  </si>
  <si>
    <t>ORD0008</t>
  </si>
  <si>
    <t>ORD0009</t>
  </si>
  <si>
    <t>East</t>
  </si>
  <si>
    <t>ORD0010</t>
  </si>
  <si>
    <t>Notebook</t>
  </si>
  <si>
    <t>ORD0011</t>
  </si>
  <si>
    <t>ORD0012</t>
  </si>
  <si>
    <t>Paper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</si>
  <si>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</si>
  <si>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</si>
  <si>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</si>
  <si>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</si>
  <si>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</si>
  <si>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</si>
  <si>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</si>
  <si>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</si>
  <si>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</si>
  <si>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</si>
  <si>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</si>
  <si>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Keyboard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</si>
  <si>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</si>
  <si>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</si>
  <si>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</si>
  <si>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</si>
  <si>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</si>
  <si>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</si>
  <si>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</si>
  <si>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</si>
  <si>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</si>
  <si>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</si>
  <si>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</si>
  <si>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</si>
  <si>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</si>
  <si>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</si>
  <si>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</si>
  <si>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</si>
  <si>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</si>
  <si>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</si>
  <si>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</si>
  <si>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</si>
  <si>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</si>
  <si>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</si>
  <si>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</si>
  <si>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</si>
  <si>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</si>
  <si>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</si>
  <si>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</si>
  <si>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</si>
  <si>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</si>
  <si>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</si>
  <si>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</si>
  <si>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</si>
  <si>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</si>
  <si>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</si>
  <si>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Cabinet</t>
  </si>
  <si>
    <t>ORD0058</t>
  </si>
  <si>
    <t>ORD0059</t>
  </si>
  <si>
    <t>ORD0060</t>
  </si>
  <si>
    <t>ORD0061</t>
  </si>
  <si>
    <t>ORD0062</t>
  </si>
  <si>
    <t>ORD0063</t>
  </si>
  <si>
    <t>ORD0064</t>
  </si>
  <si>
    <t>Laptop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</si>
  <si>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</si>
  <si>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</si>
  <si>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</si>
  <si>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</si>
  <si>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</si>
  <si>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</si>
  <si>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</si>
  <si>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</si>
  <si>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</si>
  <si>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</si>
  <si>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</si>
  <si>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</si>
  <si>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</si>
  <si>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</si>
  <si>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</si>
  <si>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</si>
  <si>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</si>
  <si>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</si>
  <si>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</si>
  <si>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</si>
  <si>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</si>
  <si>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</si>
  <si>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</si>
  <si>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</si>
  <si>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</si>
  <si>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</si>
  <si>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</si>
  <si>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</si>
  <si>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</si>
  <si>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</si>
  <si>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</si>
  <si>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</si>
  <si>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</si>
  <si>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</si>
  <si>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</si>
  <si>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</si>
  <si>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</si>
  <si>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</si>
  <si>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</si>
  <si>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</si>
  <si>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</si>
  <si>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</si>
  <si>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</si>
  <si>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</si>
  <si>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</si>
  <si>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</si>
  <si>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</si>
  <si>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</si>
  <si>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</si>
  <si>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</si>
  <si>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</si>
  <si>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</si>
  <si>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</si>
  <si>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</si>
  <si>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</si>
  <si>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</si>
  <si>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</si>
  <si>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</si>
  <si>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</si>
  <si>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</si>
  <si>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</si>
  <si>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</si>
  <si>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</si>
  <si>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</si>
  <si>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</si>
  <si>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</si>
  <si>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</si>
  <si>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</si>
  <si>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</si>
  <si>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</si>
  <si>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</si>
  <si>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</si>
  <si>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</si>
  <si>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</si>
  <si>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</si>
  <si>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</si>
  <si>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</si>
  <si>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</si>
  <si>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</si>
  <si>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</si>
  <si>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</si>
  <si>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</si>
  <si>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</si>
  <si>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</si>
  <si>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</si>
  <si>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</si>
  <si>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</si>
  <si>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</si>
  <si>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</si>
  <si>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</si>
  <si>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</si>
  <si>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</si>
  <si>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</si>
  <si>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</si>
  <si>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</si>
  <si>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</si>
  <si>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</si>
  <si>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</si>
  <si>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</si>
  <si>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</si>
  <si>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</si>
  <si>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</si>
  <si>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</si>
  <si>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</si>
  <si>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</si>
  <si>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</si>
  <si>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</si>
  <si>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</si>
  <si>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</si>
  <si>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</si>
  <si>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</si>
  <si>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</si>
  <si>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</si>
  <si>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</si>
  <si>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</si>
  <si>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</si>
  <si>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</si>
  <si>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</si>
  <si>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</si>
  <si>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</si>
  <si>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</si>
  <si>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</si>
  <si>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</si>
  <si>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</si>
  <si>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</si>
  <si>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</si>
  <si>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</si>
  <si>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</si>
  <si>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</si>
  <si>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</si>
  <si>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</si>
  <si>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</si>
  <si>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</si>
  <si>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</si>
  <si>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</si>
  <si>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</si>
  <si>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</si>
  <si>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</si>
  <si>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</si>
  <si>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</si>
  <si>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</si>
  <si>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</si>
  <si>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</si>
  <si>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</si>
  <si>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</si>
  <si>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</si>
  <si>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</si>
  <si>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</si>
  <si>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</si>
  <si>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</si>
  <si>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</si>
  <si>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</si>
  <si>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</si>
  <si>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</si>
  <si>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</si>
  <si>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</si>
  <si>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</si>
  <si>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</si>
  <si>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</si>
  <si>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</si>
  <si>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</si>
  <si>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</si>
  <si>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</si>
  <si>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</si>
  <si>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</si>
  <si>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</si>
  <si>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</si>
  <si>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</si>
  <si>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</si>
  <si>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</si>
  <si>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</si>
  <si>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</si>
  <si>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</si>
  <si>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</si>
  <si>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</si>
  <si>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</si>
  <si>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</si>
  <si>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</si>
  <si>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</si>
  <si>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</si>
  <si>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</si>
  <si>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</si>
  <si>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</si>
  <si>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</si>
  <si>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</si>
  <si>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</si>
  <si>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</si>
  <si>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</si>
  <si>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</si>
  <si>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</si>
  <si>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</si>
  <si>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</si>
  <si>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</si>
  <si>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</si>
  <si>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</si>
  <si>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</si>
  <si>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</si>
  <si>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</si>
  <si>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</si>
  <si>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</si>
  <si>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</si>
  <si>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</si>
  <si>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</si>
  <si>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</si>
  <si>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</si>
  <si>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</si>
  <si>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</si>
  <si>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</si>
  <si>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</si>
  <si>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</si>
  <si>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</si>
  <si>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</si>
  <si>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</si>
  <si>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</si>
  <si>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</si>
  <si>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</si>
  <si>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</si>
  <si>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</si>
  <si>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</si>
  <si>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</si>
  <si>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</si>
  <si>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</si>
  <si>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</si>
  <si>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</si>
  <si>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</si>
  <si>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</si>
  <si>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</si>
  <si>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</si>
  <si>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</si>
  <si>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</si>
  <si>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</si>
  <si>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</si>
  <si>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</si>
  <si>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</si>
  <si>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</si>
  <si>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</si>
  <si>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</si>
  <si>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</si>
  <si>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</si>
  <si>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</si>
  <si>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</si>
  <si>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</si>
  <si>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</si>
  <si>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</si>
  <si>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</si>
  <si>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</si>
  <si>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</si>
  <si>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</si>
  <si>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</si>
  <si>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</si>
  <si>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</si>
  <si>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</si>
  <si>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</si>
  <si>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</si>
  <si>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</si>
  <si>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</si>
  <si>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</si>
  <si>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</si>
  <si>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</si>
  <si>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</si>
  <si>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</si>
  <si>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</si>
  <si>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</si>
  <si>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</si>
  <si>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</si>
  <si>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</si>
  <si>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</si>
  <si>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</si>
  <si>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</si>
  <si>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</si>
  <si>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</si>
  <si>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</si>
  <si>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</si>
  <si>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</si>
  <si>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</si>
  <si>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</si>
  <si>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</si>
  <si>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</si>
  <si>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</si>
  <si>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</si>
  <si>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</si>
  <si>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</si>
  <si>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</si>
  <si>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</si>
  <si>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</si>
  <si>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</si>
  <si>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</si>
  <si>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</si>
  <si>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</si>
  <si>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</si>
  <si>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</si>
  <si>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</si>
  <si>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</si>
  <si>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</si>
  <si>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</si>
  <si>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</si>
  <si>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</si>
  <si>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</si>
  <si>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</si>
  <si>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</si>
  <si>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</si>
  <si>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</si>
  <si>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</si>
  <si>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</si>
  <si>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</si>
  <si>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</si>
  <si>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</si>
  <si>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</si>
  <si>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</si>
  <si>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</si>
  <si>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</si>
  <si>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</si>
  <si>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</si>
  <si>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</si>
  <si>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</si>
  <si>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</si>
  <si>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</si>
  <si>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</si>
  <si>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</si>
  <si>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</si>
  <si>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</si>
  <si>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</si>
  <si>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</si>
  <si>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</si>
  <si>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</si>
  <si>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</si>
  <si>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</si>
  <si>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</si>
  <si>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</si>
  <si>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</si>
  <si>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</si>
  <si>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</si>
  <si>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</si>
  <si>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</si>
  <si>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</si>
  <si>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</si>
  <si>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</si>
  <si>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</si>
  <si>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</si>
  <si>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</si>
  <si>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</si>
  <si>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</si>
  <si>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</si>
  <si>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</si>
  <si>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</si>
  <si>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</si>
  <si>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</si>
  <si>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</si>
  <si>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</si>
  <si>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</si>
  <si>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</si>
  <si>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</si>
  <si>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</si>
  <si>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</si>
  <si>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</si>
  <si>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</si>
  <si>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</si>
  <si>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</si>
  <si>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</si>
  <si>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</si>
  <si>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</si>
  <si>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</si>
  <si>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</si>
  <si>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</si>
  <si>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</si>
  <si>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</si>
  <si>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</si>
  <si>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</si>
  <si>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</si>
  <si>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</si>
  <si>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</si>
  <si>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</si>
  <si>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</si>
  <si>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</si>
  <si>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</si>
  <si>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</si>
  <si>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</si>
  <si>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</si>
  <si>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</si>
  <si>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</si>
  <si>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</si>
  <si>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</si>
  <si>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</si>
  <si>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</si>
  <si>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</si>
  <si>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</si>
  <si>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</si>
  <si>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</si>
  <si>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</si>
  <si>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</si>
  <si>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</si>
  <si>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</si>
  <si>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</si>
  <si>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</si>
  <si>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</si>
  <si>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</si>
  <si>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</si>
  <si>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</si>
  <si>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</si>
  <si>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</si>
  <si>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</si>
  <si>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</si>
  <si>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</si>
  <si>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</si>
  <si>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</si>
  <si>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</si>
  <si>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</si>
  <si>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</si>
  <si>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</si>
  <si>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</si>
  <si>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</si>
  <si>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</si>
  <si>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</si>
  <si>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</si>
  <si>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</si>
  <si>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</si>
  <si>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</si>
  <si>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</si>
  <si>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</si>
  <si>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</si>
  <si>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</si>
  <si>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</si>
  <si>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</si>
  <si>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</si>
  <si>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</si>
  <si>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</si>
  <si>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</si>
  <si>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</si>
  <si>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</si>
  <si>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</si>
  <si>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</si>
  <si>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</si>
  <si>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</si>
  <si>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</si>
  <si>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</si>
  <si>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</si>
  <si>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 xml:space="preserve"> Order</t>
  </si>
  <si>
    <t>year</t>
  </si>
  <si>
    <t>weekDay</t>
  </si>
  <si>
    <t>0ct</t>
  </si>
  <si>
    <t>month</t>
  </si>
  <si>
    <t>Fri</t>
  </si>
  <si>
    <t>Row Labels</t>
  </si>
  <si>
    <t>Grand Total</t>
  </si>
  <si>
    <t>QTY by product</t>
  </si>
  <si>
    <t>QTY  SOLD</t>
  </si>
  <si>
    <t>Sum of Revenue</t>
  </si>
  <si>
    <t>Mar</t>
  </si>
  <si>
    <t>Mon</t>
  </si>
  <si>
    <t>Jul</t>
  </si>
  <si>
    <t>Sat</t>
  </si>
  <si>
    <t>Apr</t>
  </si>
  <si>
    <t>Thu</t>
  </si>
  <si>
    <t>Feb</t>
  </si>
  <si>
    <t>Dec</t>
  </si>
  <si>
    <t>Wed</t>
  </si>
  <si>
    <t>Aug</t>
  </si>
  <si>
    <t>May</t>
  </si>
  <si>
    <t>Jan</t>
  </si>
  <si>
    <t>Tue</t>
  </si>
  <si>
    <t>Sep</t>
  </si>
  <si>
    <t>Sun</t>
  </si>
  <si>
    <t>Jun</t>
  </si>
  <si>
    <t>Nov</t>
  </si>
  <si>
    <t>Oct</t>
  </si>
  <si>
    <t>REVENUE BY PRODUCT</t>
  </si>
  <si>
    <t>REVENUE BY YEAR</t>
  </si>
  <si>
    <t>REVENUE BY MONTH</t>
  </si>
  <si>
    <t>Sum of Profit</t>
  </si>
  <si>
    <t>REVENUE BY REGION</t>
  </si>
  <si>
    <t>WEEK DAY BY PRODUCT</t>
  </si>
  <si>
    <t>Count of Product</t>
  </si>
  <si>
    <t>Sum of year</t>
  </si>
  <si>
    <t>Column Labels</t>
  </si>
  <si>
    <t>REGION  BY  MONTH &amp;  YEAR</t>
  </si>
  <si>
    <t>PRODUCT BY PROFIT</t>
  </si>
  <si>
    <t>QTY</t>
  </si>
  <si>
    <t>PROFIT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</si>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</sst>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165" fontId="0" fillId="0" borderId="1" xfId="0" applyNumberFormat="1" applyBorder="1"/>
    <xf numFmtId="0" fontId="0" fillId="3" borderId="1" xfId="0" applyFill="1" applyBorder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1" formatCode="0"/>
    </dxf>
    <dxf>
      <numFmt numFmtId="166" formatCode="0.0"/>
    </dxf>
    <dxf>
      <numFmt numFmtId="19" formatCode="dd/mm/yyyy"/>
    </dxf>
  </dxfs>
  <tableStyles count="0" defaultTableStyle="TableStyleMedium9" defaultPivotStyle="PivotStyleLight16"/>
  <colors>
    <mruColors>
      <color rgb="FFCC0099"/>
      <color rgb="FFC529C5"/>
      <color rgb="FFFF3399"/>
      <color rgb="FFD60093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DATA ANALYTICS(SALES AND REVENUE DASHBOARD) (Recovered).xlsx]pivot!PivotTable8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pivot!$Z$3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pivot!$Y$4:$Y$14</c:f>
              <c:strCache>
                <c:ptCount val="10"/>
                <c:pt idx="0">
                  <c:v>Cabinet</c:v>
                </c:pt>
                <c:pt idx="1">
                  <c:v>Chair</c:v>
                </c:pt>
                <c:pt idx="2">
                  <c:v>Desk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Notebook</c:v>
                </c:pt>
                <c:pt idx="8">
                  <c:v>Paper</c:v>
                </c:pt>
                <c:pt idx="9">
                  <c:v>Pen</c:v>
                </c:pt>
              </c:strCache>
            </c:strRef>
          </c:cat>
          <c:val>
            <c:numRef>
              <c:f>pivot!$Z$4:$Z$14</c:f>
              <c:numCache>
                <c:formatCode>General</c:formatCode>
                <c:ptCount val="10"/>
                <c:pt idx="0">
                  <c:v>148893.18999999997</c:v>
                </c:pt>
                <c:pt idx="1">
                  <c:v>117065.41999999998</c:v>
                </c:pt>
                <c:pt idx="2">
                  <c:v>158950.20000000001</c:v>
                </c:pt>
                <c:pt idx="3">
                  <c:v>96698.050000000017</c:v>
                </c:pt>
                <c:pt idx="4">
                  <c:v>121275.07</c:v>
                </c:pt>
                <c:pt idx="5">
                  <c:v>122420.20000000001</c:v>
                </c:pt>
                <c:pt idx="6">
                  <c:v>121375.90000000001</c:v>
                </c:pt>
                <c:pt idx="7">
                  <c:v>150859.62</c:v>
                </c:pt>
                <c:pt idx="8">
                  <c:v>239183.99999999994</c:v>
                </c:pt>
                <c:pt idx="9">
                  <c:v>123462.97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2-406E-BFF4-E57A47150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7737055"/>
        <c:axId val="567738303"/>
      </c:barChart>
      <c:catAx>
        <c:axId val="567737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738303"/>
        <c:crosses val="autoZero"/>
        <c:auto val="1"/>
        <c:lblAlgn val="ctr"/>
        <c:lblOffset val="100"/>
        <c:noMultiLvlLbl val="0"/>
      </c:catAx>
      <c:valAx>
        <c:axId val="56773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73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DATA ANALYTICS(SALES AND REVENUE DASHBOARD) (Recovered).xlsx]pivot!PivotTable5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pivot!$L$2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pivot!$K$3:$K$17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0ct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pivot!$L$3:$L$17</c:f>
              <c:numCache>
                <c:formatCode>0</c:formatCode>
                <c:ptCount val="13"/>
                <c:pt idx="0">
                  <c:v>551344</c:v>
                </c:pt>
                <c:pt idx="1">
                  <c:v>558331</c:v>
                </c:pt>
                <c:pt idx="2">
                  <c:v>561571</c:v>
                </c:pt>
                <c:pt idx="3">
                  <c:v>788752</c:v>
                </c:pt>
                <c:pt idx="4">
                  <c:v>597550</c:v>
                </c:pt>
                <c:pt idx="5">
                  <c:v>489164</c:v>
                </c:pt>
                <c:pt idx="6">
                  <c:v>688861</c:v>
                </c:pt>
                <c:pt idx="7">
                  <c:v>792450</c:v>
                </c:pt>
                <c:pt idx="8">
                  <c:v>503617</c:v>
                </c:pt>
                <c:pt idx="9">
                  <c:v>663318</c:v>
                </c:pt>
                <c:pt idx="10">
                  <c:v>636091</c:v>
                </c:pt>
                <c:pt idx="11">
                  <c:v>622552</c:v>
                </c:pt>
                <c:pt idx="12">
                  <c:v>10996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4-4746-9F92-C31534FDF309}"/>
            </c:ext>
          </c:extLst>
        </c:ser>
        <c:ser>
          <c:idx val="1"/>
          <c:order val="1"/>
          <c:tx>
            <c:strRef>
              <c:f>pivot!$M$2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pivot!$K$3:$K$17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0ct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pivot!$M$3:$M$17</c:f>
              <c:numCache>
                <c:formatCode>0</c:formatCode>
                <c:ptCount val="13"/>
                <c:pt idx="0">
                  <c:v>110471.89000000003</c:v>
                </c:pt>
                <c:pt idx="1">
                  <c:v>112035.19000000002</c:v>
                </c:pt>
                <c:pt idx="2">
                  <c:v>104256.16999999998</c:v>
                </c:pt>
                <c:pt idx="3">
                  <c:v>139378.51999999996</c:v>
                </c:pt>
                <c:pt idx="4">
                  <c:v>114220.44999999997</c:v>
                </c:pt>
                <c:pt idx="5">
                  <c:v>89372.220000000045</c:v>
                </c:pt>
                <c:pt idx="6">
                  <c:v>124865.04999999996</c:v>
                </c:pt>
                <c:pt idx="7">
                  <c:v>162203.03000000003</c:v>
                </c:pt>
                <c:pt idx="8">
                  <c:v>90944.839999999982</c:v>
                </c:pt>
                <c:pt idx="9">
                  <c:v>134447.39000000004</c:v>
                </c:pt>
                <c:pt idx="10">
                  <c:v>96906.939999999973</c:v>
                </c:pt>
                <c:pt idx="11">
                  <c:v>118250.81</c:v>
                </c:pt>
                <c:pt idx="12">
                  <c:v>2832.12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4-4746-9F92-C31534FDF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5753616"/>
        <c:axId val="1545744880"/>
      </c:barChart>
      <c:catAx>
        <c:axId val="154575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44880"/>
        <c:crosses val="autoZero"/>
        <c:auto val="1"/>
        <c:lblAlgn val="ctr"/>
        <c:lblOffset val="100"/>
        <c:noMultiLvlLbl val="0"/>
      </c:catAx>
      <c:valAx>
        <c:axId val="15457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5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DATA ANALYTICS(SALES AND REVENUE DASHBOARD) (Recovered).xlsx]pivot!PivotTable8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ln>
                    <a:solidFill>
                      <a:schemeClr val="accent1">
                        <a:shade val="50000"/>
                      </a:schemeClr>
                    </a:solidFill>
                  </a:ln>
                  <a:solidFill>
                    <a:schemeClr val="tx1">
                      <a:alpha val="81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800" b="0" i="0" u="none" strike="noStrike" kern="1200" baseline="0">
                  <a:ln>
                    <a:solidFill>
                      <a:schemeClr val="accent1">
                        <a:shade val="50000"/>
                      </a:schemeClr>
                    </a:solidFill>
                  </a:ln>
                  <a:solidFill>
                    <a:schemeClr val="tx1">
                      <a:alpha val="81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486068045265778"/>
                  <c:h val="0.13314285714285715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6969733989876964E-3"/>
              <c:y val="-1.26984126984127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ln>
                    <a:solidFill>
                      <a:schemeClr val="accent1">
                        <a:shade val="50000"/>
                      </a:schemeClr>
                    </a:solidFill>
                  </a:ln>
                  <a:solidFill>
                    <a:schemeClr val="tx1">
                      <a:alpha val="81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939394679797539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ln>
                    <a:solidFill>
                      <a:schemeClr val="accent1">
                        <a:shade val="50000"/>
                      </a:schemeClr>
                    </a:solidFill>
                  </a:ln>
                  <a:solidFill>
                    <a:schemeClr val="tx1">
                      <a:alpha val="81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pivot!$Z$3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1B-4C0E-960A-81E0AB8C27A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91B-4C0E-960A-81E0AB8C27A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1B-4C0E-960A-81E0AB8C27A7}"/>
              </c:ext>
            </c:extLst>
          </c:dPt>
          <c:dLbls>
            <c:dLbl>
              <c:idx val="7"/>
              <c:layout>
                <c:manualLayout>
                  <c:x val="-1.939394679797539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91B-4C0E-960A-81E0AB8C27A7}"/>
                </c:ext>
              </c:extLst>
            </c:dLbl>
            <c:dLbl>
              <c:idx val="8"/>
              <c:layout>
                <c:manualLayout>
                  <c:x val="9.6969733989876964E-3"/>
                  <c:y val="-1.26984126984127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91B-4C0E-960A-81E0AB8C27A7}"/>
                </c:ext>
              </c:extLst>
            </c:dLbl>
            <c:dLbl>
              <c:idx val="9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ln>
                        <a:solidFill>
                          <a:schemeClr val="accent1">
                            <a:shade val="50000"/>
                          </a:schemeClr>
                        </a:solidFill>
                      </a:ln>
                      <a:solidFill>
                        <a:schemeClr val="tx1">
                          <a:alpha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486068045265778"/>
                      <c:h val="0.133142857142857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91B-4C0E-960A-81E0AB8C27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ln>
                      <a:solidFill>
                        <a:schemeClr val="accent1">
                          <a:shade val="50000"/>
                        </a:schemeClr>
                      </a:solidFill>
                    </a:ln>
                    <a:solidFill>
                      <a:schemeClr val="tx1">
                        <a:alpha val="81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pivot!$Y$4:$Y$14</c:f>
              <c:strCache>
                <c:ptCount val="10"/>
                <c:pt idx="0">
                  <c:v>Cabinet</c:v>
                </c:pt>
                <c:pt idx="1">
                  <c:v>Chair</c:v>
                </c:pt>
                <c:pt idx="2">
                  <c:v>Desk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Notebook</c:v>
                </c:pt>
                <c:pt idx="8">
                  <c:v>Paper</c:v>
                </c:pt>
                <c:pt idx="9">
                  <c:v>Pen</c:v>
                </c:pt>
              </c:strCache>
            </c:strRef>
          </c:cat>
          <c:val>
            <c:numRef>
              <c:f>pivot!$Z$4:$Z$14</c:f>
              <c:numCache>
                <c:formatCode>General</c:formatCode>
                <c:ptCount val="10"/>
                <c:pt idx="0">
                  <c:v>148893.18999999997</c:v>
                </c:pt>
                <c:pt idx="1">
                  <c:v>117065.41999999998</c:v>
                </c:pt>
                <c:pt idx="2">
                  <c:v>158950.20000000001</c:v>
                </c:pt>
                <c:pt idx="3">
                  <c:v>96698.050000000017</c:v>
                </c:pt>
                <c:pt idx="4">
                  <c:v>121275.07</c:v>
                </c:pt>
                <c:pt idx="5">
                  <c:v>122420.20000000001</c:v>
                </c:pt>
                <c:pt idx="6">
                  <c:v>121375.90000000001</c:v>
                </c:pt>
                <c:pt idx="7">
                  <c:v>150859.62</c:v>
                </c:pt>
                <c:pt idx="8">
                  <c:v>239183.99999999994</c:v>
                </c:pt>
                <c:pt idx="9">
                  <c:v>123462.97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B-4C0E-960A-81E0AB8C27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567737055"/>
        <c:axId val="567738303"/>
      </c:barChart>
      <c:catAx>
        <c:axId val="567737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92D050"/>
          </a:solidFill>
          <a:ln w="9525" cap="flat" cmpd="sng" algn="ctr">
            <a:solidFill>
              <a:srgbClr val="D6009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ln>
                  <a:solidFill>
                    <a:schemeClr val="accent1">
                      <a:shade val="50000"/>
                    </a:schemeClr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738303"/>
        <c:crosses val="autoZero"/>
        <c:auto val="1"/>
        <c:lblAlgn val="ctr"/>
        <c:lblOffset val="100"/>
        <c:noMultiLvlLbl val="0"/>
      </c:catAx>
      <c:valAx>
        <c:axId val="56773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>
                      <a:shade val="50000"/>
                    </a:schemeClr>
                  </a:solidFill>
                </a:ln>
                <a:solidFill>
                  <a:schemeClr val="tx1">
                    <a:alpha val="81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73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ln>
            <a:solidFill>
              <a:schemeClr val="accent1">
                <a:shade val="50000"/>
              </a:schemeClr>
            </a:solidFill>
          </a:ln>
          <a:solidFill>
            <a:schemeClr val="tx1">
              <a:alpha val="81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DATA ANALYTICS(SALES AND REVENUE DASHBOARD) (Recovered).xlsx]pivot!PivotTable7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3137254901960784E-2"/>
          <c:y val="0.19088079106390771"/>
          <c:w val="0.9137254901960784"/>
          <c:h val="0.54259024598669348"/>
        </c:manualLayout>
      </c:layout>
      <c:lineChart>
        <c:grouping val="standard"/>
        <c:varyColors val="0"/>
        <c:ser>
          <c:idx val="0"/>
          <c:order val="0"/>
          <c:tx>
            <c:strRef>
              <c:f>pivot!$S$2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pivot!$R$3:$R$10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pivot!$S$3:$S$10</c:f>
              <c:numCache>
                <c:formatCode>General</c:formatCode>
                <c:ptCount val="7"/>
                <c:pt idx="0">
                  <c:v>66</c:v>
                </c:pt>
                <c:pt idx="1">
                  <c:v>75</c:v>
                </c:pt>
                <c:pt idx="2">
                  <c:v>56</c:v>
                </c:pt>
                <c:pt idx="3">
                  <c:v>75</c:v>
                </c:pt>
                <c:pt idx="4">
                  <c:v>75</c:v>
                </c:pt>
                <c:pt idx="5">
                  <c:v>76</c:v>
                </c:pt>
                <c:pt idx="6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7-4897-BE58-BFCF16BFA0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65834751"/>
        <c:axId val="565819359"/>
      </c:lineChart>
      <c:catAx>
        <c:axId val="5658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19359"/>
        <c:crosses val="autoZero"/>
        <c:auto val="1"/>
        <c:lblAlgn val="ctr"/>
        <c:lblOffset val="100"/>
        <c:noMultiLvlLbl val="0"/>
      </c:catAx>
      <c:valAx>
        <c:axId val="5658193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5834751"/>
        <c:crosses val="autoZero"/>
        <c:crossBetween val="between"/>
      </c:valAx>
      <c:spPr>
        <a:solidFill>
          <a:srgbClr val="92D050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92D050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>
          <a:solidFill>
            <a:srgbClr val="00B0F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DATA ANALYTICS(SALES AND REVENUE DASHBOARD) (Recovered).xlsx]pivot!PivotTable4</c:name>
    <c:fmtId val="12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rgbClr val="FF000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40310787511393714"/>
          <c:y val="0.34514435695538059"/>
          <c:w val="0.23283541440165167"/>
          <c:h val="0.27278266687252328"/>
        </c:manualLayout>
      </c:layout>
      <c:doughnutChart>
        <c:varyColors val="1"/>
        <c:ser>
          <c:idx val="0"/>
          <c:order val="0"/>
          <c:tx>
            <c:strRef>
              <c:f>pivot!$I$3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CA-404E-8C4D-F92EFE2075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pivot!$H$4:$H$5</c:f>
              <c:strCache>
                <c:ptCount val="1"/>
                <c:pt idx="0">
                  <c:v>2025</c:v>
                </c:pt>
              </c:strCache>
            </c:strRef>
          </c:cat>
          <c:val>
            <c:numRef>
              <c:f>pivot!$I$4:$I$5</c:f>
              <c:numCache>
                <c:formatCode>General</c:formatCode>
                <c:ptCount val="1"/>
                <c:pt idx="0">
                  <c:v>7464597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CA-404E-8C4D-F92EFE20756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DATA ANALYTICS(SALES AND REVENUE DASHBOARD) (Recovered).xlsx]pivot!PivotTable1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6027708498160218"/>
          <c:y val="0.17592539998710799"/>
          <c:w val="0.22523552976930517"/>
          <c:h val="0.730059360646080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pivot!$D$3:$D$13</c:f>
              <c:strCache>
                <c:ptCount val="10"/>
                <c:pt idx="0">
                  <c:v>Cabinet</c:v>
                </c:pt>
                <c:pt idx="1">
                  <c:v>Chair</c:v>
                </c:pt>
                <c:pt idx="2">
                  <c:v>Desk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Notebook</c:v>
                </c:pt>
                <c:pt idx="8">
                  <c:v>Paper</c:v>
                </c:pt>
                <c:pt idx="9">
                  <c:v>Pen</c:v>
                </c:pt>
              </c:strCache>
            </c:strRef>
          </c:cat>
          <c:val>
            <c:numRef>
              <c:f>pivot!$E$3:$E$13</c:f>
              <c:numCache>
                <c:formatCode>General</c:formatCode>
                <c:ptCount val="10"/>
                <c:pt idx="0">
                  <c:v>697255</c:v>
                </c:pt>
                <c:pt idx="1">
                  <c:v>630085</c:v>
                </c:pt>
                <c:pt idx="2">
                  <c:v>905767</c:v>
                </c:pt>
                <c:pt idx="3">
                  <c:v>507499</c:v>
                </c:pt>
                <c:pt idx="4">
                  <c:v>627634</c:v>
                </c:pt>
                <c:pt idx="5">
                  <c:v>615704</c:v>
                </c:pt>
                <c:pt idx="6">
                  <c:v>634278</c:v>
                </c:pt>
                <c:pt idx="7">
                  <c:v>830369</c:v>
                </c:pt>
                <c:pt idx="8">
                  <c:v>1300951</c:v>
                </c:pt>
                <c:pt idx="9">
                  <c:v>715055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7-4514-BC9A-7FDF7B9B02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8201616"/>
        <c:axId val="1488212016"/>
      </c:barChart>
      <c:catAx>
        <c:axId val="148820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12016"/>
        <c:crosses val="autoZero"/>
        <c:auto val="1"/>
        <c:lblAlgn val="ctr"/>
        <c:lblOffset val="100"/>
        <c:noMultiLvlLbl val="0"/>
      </c:catAx>
      <c:valAx>
        <c:axId val="148821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0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DATA ANALYTICS(SALES AND REVENUE DASHBOARD) (Recovered).xlsx]pivot!PivotTable3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597845089885852"/>
          <c:y val="0.21271892543472051"/>
          <c:w val="0.85402154910114148"/>
          <c:h val="0.67597663125846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pivot!$V$3:$V$4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pivot!$U$5:$U$18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0ct</c:v>
                </c:pt>
              </c:strCache>
            </c:strRef>
          </c:cat>
          <c:val>
            <c:numRef>
              <c:f>pivot!$V$5:$V$18</c:f>
              <c:numCache>
                <c:formatCode>General</c:formatCode>
                <c:ptCount val="13"/>
                <c:pt idx="0">
                  <c:v>76950</c:v>
                </c:pt>
                <c:pt idx="1">
                  <c:v>72900</c:v>
                </c:pt>
                <c:pt idx="2">
                  <c:v>81000</c:v>
                </c:pt>
                <c:pt idx="3">
                  <c:v>103275</c:v>
                </c:pt>
                <c:pt idx="4">
                  <c:v>74925</c:v>
                </c:pt>
                <c:pt idx="5">
                  <c:v>83025</c:v>
                </c:pt>
                <c:pt idx="6">
                  <c:v>91125</c:v>
                </c:pt>
                <c:pt idx="7">
                  <c:v>99225</c:v>
                </c:pt>
                <c:pt idx="8">
                  <c:v>66825</c:v>
                </c:pt>
                <c:pt idx="9">
                  <c:v>99225</c:v>
                </c:pt>
                <c:pt idx="10">
                  <c:v>81000</c:v>
                </c:pt>
                <c:pt idx="11">
                  <c:v>81000</c:v>
                </c:pt>
                <c:pt idx="12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C-42B8-8AC1-D4538C19F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702384"/>
        <c:axId val="1544702800"/>
      </c:barChart>
      <c:catAx>
        <c:axId val="154470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702800"/>
        <c:crosses val="autoZero"/>
        <c:auto val="1"/>
        <c:lblAlgn val="ctr"/>
        <c:lblOffset val="100"/>
        <c:noMultiLvlLbl val="0"/>
      </c:catAx>
      <c:valAx>
        <c:axId val="154470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70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DATA ANALYTICS(SALES AND REVENUE DASHBOARD) (Recovered).xlsx]pivot!PivotTable6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rgbClr val="FFC00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7.2755510824304856E-2"/>
          <c:y val="0.27999697560886339"/>
          <c:w val="0.53494010617093912"/>
          <c:h val="0.65272476932997692"/>
        </c:manualLayout>
      </c:layout>
      <c:pieChart>
        <c:varyColors val="1"/>
        <c:ser>
          <c:idx val="0"/>
          <c:order val="0"/>
          <c:tx>
            <c:strRef>
              <c:f>pivot!$P$3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FE1-4B88-87C7-6A90936A8B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FE1-4B88-87C7-6A90936A8B9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FE1-4B88-87C7-6A90936A8B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FE1-4B88-87C7-6A90936A8B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pivot!$O$4:$O$8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pivot!$P$4:$P$8</c:f>
              <c:numCache>
                <c:formatCode>General</c:formatCode>
                <c:ptCount val="4"/>
                <c:pt idx="0">
                  <c:v>1883937</c:v>
                </c:pt>
                <c:pt idx="1">
                  <c:v>1730524</c:v>
                </c:pt>
                <c:pt idx="2">
                  <c:v>1990559</c:v>
                </c:pt>
                <c:pt idx="3">
                  <c:v>1859577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E1-4B88-87C7-6A90936A8B9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DATA ANALYTICS(SALES AND REVENUE DASHBOARD) (Recovered).xlsx]pivot!PivotTable5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C529C5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670318786150153"/>
          <c:y val="0.24827718453001593"/>
          <c:w val="0.76938462268679109"/>
          <c:h val="0.357378204436774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pivot!$L$2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pivot!$K$3:$K$17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0ct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pivot!$L$3:$L$17</c:f>
              <c:numCache>
                <c:formatCode>0</c:formatCode>
                <c:ptCount val="13"/>
                <c:pt idx="0">
                  <c:v>551344</c:v>
                </c:pt>
                <c:pt idx="1">
                  <c:v>558331</c:v>
                </c:pt>
                <c:pt idx="2">
                  <c:v>561571</c:v>
                </c:pt>
                <c:pt idx="3">
                  <c:v>788752</c:v>
                </c:pt>
                <c:pt idx="4">
                  <c:v>597550</c:v>
                </c:pt>
                <c:pt idx="5">
                  <c:v>489164</c:v>
                </c:pt>
                <c:pt idx="6">
                  <c:v>688861</c:v>
                </c:pt>
                <c:pt idx="7">
                  <c:v>792450</c:v>
                </c:pt>
                <c:pt idx="8">
                  <c:v>503617</c:v>
                </c:pt>
                <c:pt idx="9">
                  <c:v>663318</c:v>
                </c:pt>
                <c:pt idx="10">
                  <c:v>636091</c:v>
                </c:pt>
                <c:pt idx="11">
                  <c:v>622552</c:v>
                </c:pt>
                <c:pt idx="12">
                  <c:v>10996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F-47F6-9E1F-0EF47E1B2966}"/>
            </c:ext>
          </c:extLst>
        </c:ser>
        <c:ser>
          <c:idx val="1"/>
          <c:order val="1"/>
          <c:tx>
            <c:strRef>
              <c:f>pivot!$M$2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C529C5"/>
            </a:solidFill>
            <a:ln>
              <a:noFill/>
            </a:ln>
            <a:effectLst/>
          </c:spPr>
          <c:invertIfNegative val="0"/>
          <c:cat>
            <c:multiLvlStrRef>
              <c:f>pivot!$K$3:$K$17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0ct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pivot!$M$3:$M$17</c:f>
              <c:numCache>
                <c:formatCode>0</c:formatCode>
                <c:ptCount val="13"/>
                <c:pt idx="0">
                  <c:v>110471.89000000003</c:v>
                </c:pt>
                <c:pt idx="1">
                  <c:v>112035.19000000002</c:v>
                </c:pt>
                <c:pt idx="2">
                  <c:v>104256.16999999998</c:v>
                </c:pt>
                <c:pt idx="3">
                  <c:v>139378.51999999996</c:v>
                </c:pt>
                <c:pt idx="4">
                  <c:v>114220.44999999997</c:v>
                </c:pt>
                <c:pt idx="5">
                  <c:v>89372.220000000045</c:v>
                </c:pt>
                <c:pt idx="6">
                  <c:v>124865.04999999996</c:v>
                </c:pt>
                <c:pt idx="7">
                  <c:v>162203.03000000003</c:v>
                </c:pt>
                <c:pt idx="8">
                  <c:v>90944.839999999982</c:v>
                </c:pt>
                <c:pt idx="9">
                  <c:v>134447.39000000004</c:v>
                </c:pt>
                <c:pt idx="10">
                  <c:v>96906.939999999973</c:v>
                </c:pt>
                <c:pt idx="11">
                  <c:v>118250.81</c:v>
                </c:pt>
                <c:pt idx="12">
                  <c:v>2832.12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FF-47F6-9E1F-0EF47E1B2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545753616"/>
        <c:axId val="1545744880"/>
      </c:barChart>
      <c:catAx>
        <c:axId val="154575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44880"/>
        <c:crosses val="autoZero"/>
        <c:auto val="1"/>
        <c:lblAlgn val="ctr"/>
        <c:lblOffset val="100"/>
        <c:noMultiLvlLbl val="0"/>
      </c:catAx>
      <c:valAx>
        <c:axId val="154574488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5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9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12" Type="http://schemas.openxmlformats.org/officeDocument/2006/relationships/chart" Target="../charts/chart8.xm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chart" Target="../charts/chart7.xml"/><Relationship Id="rId5" Type="http://schemas.openxmlformats.org/officeDocument/2006/relationships/image" Target="../media/image5.png"/><Relationship Id="rId10" Type="http://schemas.openxmlformats.org/officeDocument/2006/relationships/chart" Target="../charts/chart6.xml"/><Relationship Id="rId4" Type="http://schemas.openxmlformats.org/officeDocument/2006/relationships/image" Target="../media/image4.jp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590550</xdr:colOff>
      <xdr:row>25</xdr:row>
      <xdr:rowOff>28576</xdr:rowOff>
    </xdr:from>
    <xdr:to>
      <xdr:col>22</xdr:col>
      <xdr:colOff>495300</xdr:colOff>
      <xdr:row>37</xdr:row>
      <xdr:rowOff>28576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742950</xdr:colOff>
      <xdr:row>22</xdr:row>
      <xdr:rowOff>152400</xdr:rowOff>
    </xdr:from>
    <xdr:to>
      <xdr:col>10</xdr:col>
      <xdr:colOff>809625</xdr:colOff>
      <xdr:row>37</xdr:row>
      <xdr:rowOff>38100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133350</xdr:rowOff>
    </xdr:from>
    <xdr:to>
      <xdr:col>19</xdr:col>
      <xdr:colOff>523875</xdr:colOff>
      <xdr:row>34</xdr:row>
      <xdr:rowOff>2850</xdr:rowOff>
    </xdr:to>
    <xdr:sp macro="" textlink="">
      <xdr:nvSpPr>
        <xdr:cNvPr id="2" name="Rounded Rectangle 1"/>
        <xdr:cNvSpPr/>
      </xdr:nvSpPr>
      <xdr:spPr>
        <a:xfrm>
          <a:off x="476250" y="323850"/>
          <a:ext cx="11630025" cy="6156000"/>
        </a:xfrm>
        <a:prstGeom prst="round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438150</xdr:colOff>
      <xdr:row>1</xdr:row>
      <xdr:rowOff>76199</xdr:rowOff>
    </xdr:from>
    <xdr:to>
      <xdr:col>2</xdr:col>
      <xdr:colOff>428550</xdr:colOff>
      <xdr:row>6</xdr:row>
      <xdr:rowOff>66675</xdr:rowOff>
    </xdr:to>
    <xdr:sp macro="" textlink="">
      <xdr:nvSpPr>
        <xdr:cNvPr id="3" name="Rounded Rectangle 2"/>
        <xdr:cNvSpPr/>
      </xdr:nvSpPr>
      <xdr:spPr>
        <a:xfrm>
          <a:off x="438150" y="266699"/>
          <a:ext cx="1209600" cy="942976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523875</xdr:colOff>
      <xdr:row>1</xdr:row>
      <xdr:rowOff>104775</xdr:rowOff>
    </xdr:from>
    <xdr:to>
      <xdr:col>19</xdr:col>
      <xdr:colOff>552450</xdr:colOff>
      <xdr:row>5</xdr:row>
      <xdr:rowOff>162525</xdr:rowOff>
    </xdr:to>
    <xdr:sp macro="" textlink="">
      <xdr:nvSpPr>
        <xdr:cNvPr id="4" name="Rounded Rectangle 3"/>
        <xdr:cNvSpPr/>
      </xdr:nvSpPr>
      <xdr:spPr>
        <a:xfrm>
          <a:off x="1743075" y="295275"/>
          <a:ext cx="10391775" cy="819750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4800">
              <a:solidFill>
                <a:schemeClr val="bg1"/>
              </a:solidFill>
            </a:rPr>
            <a:t>  SALES  AND  REVENUE  DASHBOARD</a:t>
          </a:r>
        </a:p>
      </xdr:txBody>
    </xdr:sp>
    <xdr:clientData/>
  </xdr:twoCellAnchor>
  <xdr:twoCellAnchor>
    <xdr:from>
      <xdr:col>0</xdr:col>
      <xdr:colOff>361950</xdr:colOff>
      <xdr:row>6</xdr:row>
      <xdr:rowOff>123825</xdr:rowOff>
    </xdr:from>
    <xdr:to>
      <xdr:col>2</xdr:col>
      <xdr:colOff>352350</xdr:colOff>
      <xdr:row>34</xdr:row>
      <xdr:rowOff>104775</xdr:rowOff>
    </xdr:to>
    <xdr:sp macro="" textlink="">
      <xdr:nvSpPr>
        <xdr:cNvPr id="5" name="Rounded Rectangle 4"/>
        <xdr:cNvSpPr/>
      </xdr:nvSpPr>
      <xdr:spPr>
        <a:xfrm>
          <a:off x="361950" y="1266825"/>
          <a:ext cx="1209600" cy="5314950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 i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YEAR</a:t>
          </a:r>
        </a:p>
      </xdr:txBody>
    </xdr:sp>
    <xdr:clientData/>
  </xdr:twoCellAnchor>
  <xdr:twoCellAnchor>
    <xdr:from>
      <xdr:col>2</xdr:col>
      <xdr:colOff>466725</xdr:colOff>
      <xdr:row>6</xdr:row>
      <xdr:rowOff>104775</xdr:rowOff>
    </xdr:from>
    <xdr:to>
      <xdr:col>6</xdr:col>
      <xdr:colOff>44325</xdr:colOff>
      <xdr:row>10</xdr:row>
      <xdr:rowOff>167175</xdr:rowOff>
    </xdr:to>
    <xdr:sp macro="" textlink="">
      <xdr:nvSpPr>
        <xdr:cNvPr id="6" name="Rounded Rectangle 5"/>
        <xdr:cNvSpPr/>
      </xdr:nvSpPr>
      <xdr:spPr>
        <a:xfrm>
          <a:off x="1685925" y="1247775"/>
          <a:ext cx="2016000" cy="824400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IN" sz="2000"/>
            <a:t>   TOTAL PROFIT</a:t>
          </a:r>
        </a:p>
        <a:p>
          <a:pPr lvl="0" algn="l"/>
          <a:r>
            <a:rPr lang="en-IN" sz="2000" b="0" i="1" u="sng" baseline="0">
              <a:solidFill>
                <a:schemeClr val="lt1"/>
              </a:solidFill>
              <a:latin typeface="+mn-lt"/>
              <a:ea typeface="+mn-ea"/>
              <a:cs typeface="+mn-cs"/>
            </a:rPr>
            <a:t>   $ </a:t>
          </a:r>
          <a:r>
            <a:rPr lang="en-IN" sz="1800" b="0" i="1" u="sng" baseline="0">
              <a:solidFill>
                <a:schemeClr val="lt1"/>
              </a:solidFill>
              <a:latin typeface="+mn-lt"/>
              <a:ea typeface="+mn-ea"/>
              <a:cs typeface="+mn-cs"/>
            </a:rPr>
            <a:t>14,OO,184.52</a:t>
          </a:r>
          <a:endParaRPr lang="en-IN" sz="1800" b="0" i="1" u="sng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171450</xdr:colOff>
      <xdr:row>6</xdr:row>
      <xdr:rowOff>104775</xdr:rowOff>
    </xdr:from>
    <xdr:to>
      <xdr:col>9</xdr:col>
      <xdr:colOff>358650</xdr:colOff>
      <xdr:row>10</xdr:row>
      <xdr:rowOff>167175</xdr:rowOff>
    </xdr:to>
    <xdr:sp macro="" textlink="">
      <xdr:nvSpPr>
        <xdr:cNvPr id="7" name="Rounded Rectangle 6"/>
        <xdr:cNvSpPr/>
      </xdr:nvSpPr>
      <xdr:spPr>
        <a:xfrm>
          <a:off x="3829050" y="1247775"/>
          <a:ext cx="2016000" cy="824400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TOTAL</a:t>
          </a:r>
          <a:r>
            <a:rPr lang="en-IN" sz="1600" baseline="0"/>
            <a:t> QTY SOLD</a:t>
          </a:r>
        </a:p>
        <a:p>
          <a:pPr algn="ctr"/>
          <a:r>
            <a:rPr lang="en-IN" sz="1600" i="1" baseline="0"/>
            <a:t>2814</a:t>
          </a:r>
        </a:p>
      </xdr:txBody>
    </xdr:sp>
    <xdr:clientData/>
  </xdr:twoCellAnchor>
  <xdr:twoCellAnchor>
    <xdr:from>
      <xdr:col>9</xdr:col>
      <xdr:colOff>438150</xdr:colOff>
      <xdr:row>6</xdr:row>
      <xdr:rowOff>114300</xdr:rowOff>
    </xdr:from>
    <xdr:to>
      <xdr:col>13</xdr:col>
      <xdr:colOff>15750</xdr:colOff>
      <xdr:row>10</xdr:row>
      <xdr:rowOff>176700</xdr:rowOff>
    </xdr:to>
    <xdr:sp macro="" textlink="">
      <xdr:nvSpPr>
        <xdr:cNvPr id="8" name="Rounded Rectangle 7"/>
        <xdr:cNvSpPr/>
      </xdr:nvSpPr>
      <xdr:spPr>
        <a:xfrm>
          <a:off x="5924550" y="1257300"/>
          <a:ext cx="2016000" cy="824400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TOTAL REVENUE</a:t>
          </a:r>
        </a:p>
        <a:p>
          <a:pPr algn="ctr"/>
          <a:r>
            <a:rPr lang="en-IN" sz="1600"/>
            <a:t>$</a:t>
          </a:r>
          <a:r>
            <a:rPr lang="en-IN" sz="1600" baseline="0"/>
            <a:t> 74,64,597.00</a:t>
          </a:r>
          <a:endParaRPr lang="en-IN" sz="1600"/>
        </a:p>
      </xdr:txBody>
    </xdr:sp>
    <xdr:clientData/>
  </xdr:twoCellAnchor>
  <xdr:twoCellAnchor>
    <xdr:from>
      <xdr:col>13</xdr:col>
      <xdr:colOff>104775</xdr:colOff>
      <xdr:row>6</xdr:row>
      <xdr:rowOff>114300</xdr:rowOff>
    </xdr:from>
    <xdr:to>
      <xdr:col>16</xdr:col>
      <xdr:colOff>291975</xdr:colOff>
      <xdr:row>10</xdr:row>
      <xdr:rowOff>176700</xdr:rowOff>
    </xdr:to>
    <xdr:sp macro="" textlink="">
      <xdr:nvSpPr>
        <xdr:cNvPr id="9" name="Rounded Rectangle 8"/>
        <xdr:cNvSpPr/>
      </xdr:nvSpPr>
      <xdr:spPr>
        <a:xfrm>
          <a:off x="8029575" y="1257300"/>
          <a:ext cx="2016000" cy="824400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REGION</a:t>
          </a:r>
        </a:p>
        <a:p>
          <a:pPr algn="ctr"/>
          <a:r>
            <a:rPr lang="en-IN" sz="2000"/>
            <a:t>4</a:t>
          </a:r>
        </a:p>
      </xdr:txBody>
    </xdr:sp>
    <xdr:clientData/>
  </xdr:twoCellAnchor>
  <xdr:twoCellAnchor>
    <xdr:from>
      <xdr:col>2</xdr:col>
      <xdr:colOff>466725</xdr:colOff>
      <xdr:row>11</xdr:row>
      <xdr:rowOff>161925</xdr:rowOff>
    </xdr:from>
    <xdr:to>
      <xdr:col>7</xdr:col>
      <xdr:colOff>61125</xdr:colOff>
      <xdr:row>22</xdr:row>
      <xdr:rowOff>129225</xdr:rowOff>
    </xdr:to>
    <xdr:sp macro="" textlink="">
      <xdr:nvSpPr>
        <xdr:cNvPr id="10" name="Rounded Rectangle 9"/>
        <xdr:cNvSpPr/>
      </xdr:nvSpPr>
      <xdr:spPr>
        <a:xfrm>
          <a:off x="1685925" y="2257425"/>
          <a:ext cx="2642400" cy="2062800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142875</xdr:colOff>
      <xdr:row>11</xdr:row>
      <xdr:rowOff>171450</xdr:rowOff>
    </xdr:from>
    <xdr:to>
      <xdr:col>12</xdr:col>
      <xdr:colOff>301575</xdr:colOff>
      <xdr:row>22</xdr:row>
      <xdr:rowOff>109950</xdr:rowOff>
    </xdr:to>
    <xdr:sp macro="" textlink="">
      <xdr:nvSpPr>
        <xdr:cNvPr id="11" name="Rounded Rectangle 10"/>
        <xdr:cNvSpPr/>
      </xdr:nvSpPr>
      <xdr:spPr>
        <a:xfrm>
          <a:off x="4410075" y="2266950"/>
          <a:ext cx="3206700" cy="2034000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438150</xdr:colOff>
      <xdr:row>12</xdr:row>
      <xdr:rowOff>28575</xdr:rowOff>
    </xdr:from>
    <xdr:to>
      <xdr:col>16</xdr:col>
      <xdr:colOff>228599</xdr:colOff>
      <xdr:row>22</xdr:row>
      <xdr:rowOff>0</xdr:rowOff>
    </xdr:to>
    <xdr:sp macro="" textlink="">
      <xdr:nvSpPr>
        <xdr:cNvPr id="12" name="Rounded Rectangle 11"/>
        <xdr:cNvSpPr/>
      </xdr:nvSpPr>
      <xdr:spPr>
        <a:xfrm>
          <a:off x="7753350" y="2314575"/>
          <a:ext cx="2228849" cy="1876425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381001</xdr:colOff>
      <xdr:row>6</xdr:row>
      <xdr:rowOff>142874</xdr:rowOff>
    </xdr:from>
    <xdr:to>
      <xdr:col>19</xdr:col>
      <xdr:colOff>457201</xdr:colOff>
      <xdr:row>23</xdr:row>
      <xdr:rowOff>19049</xdr:rowOff>
    </xdr:to>
    <xdr:sp macro="" textlink="">
      <xdr:nvSpPr>
        <xdr:cNvPr id="13" name="Rounded Rectangle 12"/>
        <xdr:cNvSpPr/>
      </xdr:nvSpPr>
      <xdr:spPr>
        <a:xfrm>
          <a:off x="10134601" y="1285874"/>
          <a:ext cx="1905000" cy="3114675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457199</xdr:colOff>
      <xdr:row>23</xdr:row>
      <xdr:rowOff>28575</xdr:rowOff>
    </xdr:from>
    <xdr:to>
      <xdr:col>10</xdr:col>
      <xdr:colOff>161924</xdr:colOff>
      <xdr:row>31</xdr:row>
      <xdr:rowOff>142875</xdr:rowOff>
    </xdr:to>
    <xdr:sp macro="" textlink="">
      <xdr:nvSpPr>
        <xdr:cNvPr id="14" name="Rounded Rectangle 13"/>
        <xdr:cNvSpPr/>
      </xdr:nvSpPr>
      <xdr:spPr>
        <a:xfrm>
          <a:off x="1676399" y="4410075"/>
          <a:ext cx="4581525" cy="1638300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247650</xdr:colOff>
      <xdr:row>22</xdr:row>
      <xdr:rowOff>171450</xdr:rowOff>
    </xdr:from>
    <xdr:to>
      <xdr:col>14</xdr:col>
      <xdr:colOff>228600</xdr:colOff>
      <xdr:row>31</xdr:row>
      <xdr:rowOff>133350</xdr:rowOff>
    </xdr:to>
    <xdr:sp macro="" textlink="">
      <xdr:nvSpPr>
        <xdr:cNvPr id="15" name="Rounded Rectangle 14"/>
        <xdr:cNvSpPr/>
      </xdr:nvSpPr>
      <xdr:spPr>
        <a:xfrm>
          <a:off x="6343650" y="4362450"/>
          <a:ext cx="2419350" cy="1676400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409575</xdr:colOff>
      <xdr:row>23</xdr:row>
      <xdr:rowOff>76200</xdr:rowOff>
    </xdr:from>
    <xdr:to>
      <xdr:col>19</xdr:col>
      <xdr:colOff>428625</xdr:colOff>
      <xdr:row>32</xdr:row>
      <xdr:rowOff>38100</xdr:rowOff>
    </xdr:to>
    <xdr:sp macro="" textlink="">
      <xdr:nvSpPr>
        <xdr:cNvPr id="16" name="Rounded Rectangle 15"/>
        <xdr:cNvSpPr/>
      </xdr:nvSpPr>
      <xdr:spPr>
        <a:xfrm>
          <a:off x="8943975" y="4457700"/>
          <a:ext cx="3067050" cy="1676400"/>
        </a:xfrm>
        <a:prstGeom prst="roundRect">
          <a:avLst/>
        </a:prstGeom>
        <a:solidFill>
          <a:srgbClr val="92D05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20</xdr:col>
      <xdr:colOff>0</xdr:colOff>
      <xdr:row>26</xdr:row>
      <xdr:rowOff>0</xdr:rowOff>
    </xdr:from>
    <xdr:to>
      <xdr:col>29</xdr:col>
      <xdr:colOff>171450</xdr:colOff>
      <xdr:row>78</xdr:row>
      <xdr:rowOff>152400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4953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29</xdr:col>
      <xdr:colOff>171450</xdr:colOff>
      <xdr:row>78</xdr:row>
      <xdr:rowOff>152400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4953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28</xdr:col>
      <xdr:colOff>681</xdr:colOff>
      <xdr:row>51</xdr:row>
      <xdr:rowOff>114981</xdr:rowOff>
    </xdr:to>
    <xdr:pic>
      <xdr:nvPicPr>
        <xdr:cNvPr id="19" name="Picture 18" descr="&lt;strong&gt;Graph&lt;/strong&gt; Image Free PNG HQ Transparent HQ PNG Download | FreePNGim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4953000"/>
          <a:ext cx="4877481" cy="4877481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29</xdr:col>
      <xdr:colOff>171450</xdr:colOff>
      <xdr:row>78</xdr:row>
      <xdr:rowOff>152400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4953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29</xdr:col>
      <xdr:colOff>171450</xdr:colOff>
      <xdr:row>78</xdr:row>
      <xdr:rowOff>152400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4953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485774</xdr:colOff>
      <xdr:row>29</xdr:row>
      <xdr:rowOff>38100</xdr:rowOff>
    </xdr:from>
    <xdr:to>
      <xdr:col>2</xdr:col>
      <xdr:colOff>219075</xdr:colOff>
      <xdr:row>33</xdr:row>
      <xdr:rowOff>9525</xdr:rowOff>
    </xdr:to>
    <xdr:pic>
      <xdr:nvPicPr>
        <xdr:cNvPr id="22" name="Picture 21" descr="&lt;strong&gt;graph picture&lt;/strong&gt; - Agenda Consulti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4" y="5562600"/>
          <a:ext cx="952501" cy="7334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561976</xdr:colOff>
      <xdr:row>2</xdr:row>
      <xdr:rowOff>22307</xdr:rowOff>
    </xdr:from>
    <xdr:to>
      <xdr:col>2</xdr:col>
      <xdr:colOff>276226</xdr:colOff>
      <xdr:row>5</xdr:row>
      <xdr:rowOff>57151</xdr:rowOff>
    </xdr:to>
    <xdr:pic>
      <xdr:nvPicPr>
        <xdr:cNvPr id="23" name="Picture 22" descr="Free Stock Photo 5376 Bar &lt;strong&gt;graph&lt;/strong&gt; or chart analysis | freeimageslive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6" y="403307"/>
          <a:ext cx="933450" cy="60634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15</xdr:col>
      <xdr:colOff>247649</xdr:colOff>
      <xdr:row>7</xdr:row>
      <xdr:rowOff>123825</xdr:rowOff>
    </xdr:from>
    <xdr:to>
      <xdr:col>16</xdr:col>
      <xdr:colOff>285750</xdr:colOff>
      <xdr:row>10</xdr:row>
      <xdr:rowOff>104774</xdr:rowOff>
    </xdr:to>
    <xdr:pic>
      <xdr:nvPicPr>
        <xdr:cNvPr id="25" name="Picture 24" descr="&lt;strong&gt;Four&lt;/strong&gt; &lt;strong&gt;directions&lt;/strong&gt; arrows Icons &amp; Symbols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49" y="1457325"/>
          <a:ext cx="647701" cy="552449"/>
        </a:xfrm>
        <a:prstGeom prst="rect">
          <a:avLst/>
        </a:prstGeom>
      </xdr:spPr>
    </xdr:pic>
    <xdr:clientData/>
  </xdr:twoCellAnchor>
  <xdr:twoCellAnchor editAs="oneCell">
    <xdr:from>
      <xdr:col>4</xdr:col>
      <xdr:colOff>54750</xdr:colOff>
      <xdr:row>13</xdr:row>
      <xdr:rowOff>7125</xdr:rowOff>
    </xdr:from>
    <xdr:to>
      <xdr:col>6</xdr:col>
      <xdr:colOff>371475</xdr:colOff>
      <xdr:row>21</xdr:row>
      <xdr:rowOff>90906</xdr:rowOff>
    </xdr:to>
    <xdr:pic>
      <xdr:nvPicPr>
        <xdr:cNvPr id="26" name="Picture 25" descr="&lt;strong&gt;Directions&lt;/strong&gt; &lt;strong&gt;clipart&lt;/strong&gt; 19 free Cliparts | Download images on Clipground 202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3150" y="2483625"/>
          <a:ext cx="1535925" cy="1607781"/>
        </a:xfrm>
        <a:prstGeom prst="rect">
          <a:avLst/>
        </a:prstGeom>
      </xdr:spPr>
    </xdr:pic>
    <xdr:clientData/>
  </xdr:twoCellAnchor>
  <xdr:twoCellAnchor>
    <xdr:from>
      <xdr:col>2</xdr:col>
      <xdr:colOff>457201</xdr:colOff>
      <xdr:row>11</xdr:row>
      <xdr:rowOff>114300</xdr:rowOff>
    </xdr:from>
    <xdr:to>
      <xdr:col>7</xdr:col>
      <xdr:colOff>85725</xdr:colOff>
      <xdr:row>22</xdr:row>
      <xdr:rowOff>171449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114300</xdr:colOff>
      <xdr:row>11</xdr:row>
      <xdr:rowOff>152401</xdr:rowOff>
    </xdr:from>
    <xdr:to>
      <xdr:col>12</xdr:col>
      <xdr:colOff>333375</xdr:colOff>
      <xdr:row>22</xdr:row>
      <xdr:rowOff>123825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381000</xdr:colOff>
      <xdr:row>11</xdr:row>
      <xdr:rowOff>161924</xdr:rowOff>
    </xdr:from>
    <xdr:to>
      <xdr:col>16</xdr:col>
      <xdr:colOff>314325</xdr:colOff>
      <xdr:row>22</xdr:row>
      <xdr:rowOff>133349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371475</xdr:colOff>
      <xdr:row>6</xdr:row>
      <xdr:rowOff>114299</xdr:rowOff>
    </xdr:from>
    <xdr:to>
      <xdr:col>19</xdr:col>
      <xdr:colOff>552450</xdr:colOff>
      <xdr:row>22</xdr:row>
      <xdr:rowOff>152401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419101</xdr:colOff>
      <xdr:row>22</xdr:row>
      <xdr:rowOff>180975</xdr:rowOff>
    </xdr:from>
    <xdr:to>
      <xdr:col>10</xdr:col>
      <xdr:colOff>171450</xdr:colOff>
      <xdr:row>34</xdr:row>
      <xdr:rowOff>28575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228600</xdr:colOff>
      <xdr:row>22</xdr:row>
      <xdr:rowOff>171449</xdr:rowOff>
    </xdr:from>
    <xdr:to>
      <xdr:col>14</xdr:col>
      <xdr:colOff>323850</xdr:colOff>
      <xdr:row>34</xdr:row>
      <xdr:rowOff>28575</xdr:rowOff>
    </xdr:to>
    <xdr:graphicFrame macro="">
      <xdr:nvGraphicFramePr>
        <xdr:cNvPr id="35" name="Chart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381000</xdr:colOff>
      <xdr:row>22</xdr:row>
      <xdr:rowOff>180976</xdr:rowOff>
    </xdr:from>
    <xdr:to>
      <xdr:col>19</xdr:col>
      <xdr:colOff>561975</xdr:colOff>
      <xdr:row>34</xdr:row>
      <xdr:rowOff>47626</xdr:rowOff>
    </xdr:to>
    <xdr:graphicFrame macro="">
      <xdr:nvGraphicFramePr>
        <xdr:cNvPr id="37" name="Chart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552450</xdr:colOff>
      <xdr:row>8</xdr:row>
      <xdr:rowOff>142875</xdr:rowOff>
    </xdr:from>
    <xdr:to>
      <xdr:col>2</xdr:col>
      <xdr:colOff>238125</xdr:colOff>
      <xdr:row>10</xdr:row>
      <xdr:rowOff>38100</xdr:rowOff>
    </xdr:to>
    <xdr:sp macro="" textlink="">
      <xdr:nvSpPr>
        <xdr:cNvPr id="29" name="Rounded Rectangle 28"/>
        <xdr:cNvSpPr/>
      </xdr:nvSpPr>
      <xdr:spPr>
        <a:xfrm>
          <a:off x="552450" y="1666875"/>
          <a:ext cx="904875" cy="27622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2025</a:t>
          </a:r>
        </a:p>
      </xdr:txBody>
    </xdr:sp>
    <xdr:clientData/>
  </xdr:twoCellAnchor>
  <xdr:oneCellAnchor>
    <xdr:from>
      <xdr:col>0</xdr:col>
      <xdr:colOff>571501</xdr:colOff>
      <xdr:row>11</xdr:row>
      <xdr:rowOff>57151</xdr:rowOff>
    </xdr:from>
    <xdr:ext cx="828674" cy="381000"/>
    <xdr:sp macro="" textlink="">
      <xdr:nvSpPr>
        <xdr:cNvPr id="31" name="TextBox 30"/>
        <xdr:cNvSpPr txBox="1"/>
      </xdr:nvSpPr>
      <xdr:spPr>
        <a:xfrm>
          <a:off x="571501" y="2152651"/>
          <a:ext cx="828674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month</a:t>
          </a:r>
        </a:p>
      </xdr:txBody>
    </xdr:sp>
    <xdr:clientData/>
  </xdr:oneCellAnchor>
  <xdr:oneCellAnchor>
    <xdr:from>
      <xdr:col>0</xdr:col>
      <xdr:colOff>571500</xdr:colOff>
      <xdr:row>15</xdr:row>
      <xdr:rowOff>66675</xdr:rowOff>
    </xdr:from>
    <xdr:ext cx="184731" cy="264560"/>
    <xdr:sp macro="" textlink="">
      <xdr:nvSpPr>
        <xdr:cNvPr id="32" name="TextBox 31"/>
        <xdr:cNvSpPr txBox="1"/>
      </xdr:nvSpPr>
      <xdr:spPr>
        <a:xfrm>
          <a:off x="571500" y="292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38100</xdr:colOff>
      <xdr:row>13</xdr:row>
      <xdr:rowOff>47626</xdr:rowOff>
    </xdr:from>
    <xdr:ext cx="790575" cy="1200150"/>
    <xdr:sp macro="" textlink="">
      <xdr:nvSpPr>
        <xdr:cNvPr id="36" name="TextBox 35"/>
        <xdr:cNvSpPr txBox="1"/>
      </xdr:nvSpPr>
      <xdr:spPr>
        <a:xfrm>
          <a:off x="647700" y="2524126"/>
          <a:ext cx="790575" cy="120015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100" i="1" u="sng">
              <a:solidFill>
                <a:schemeClr val="bg1"/>
              </a:solidFill>
            </a:rPr>
            <a:t>Jan</a:t>
          </a:r>
          <a:r>
            <a:rPr lang="en-IN" sz="1100" i="1" u="sng" baseline="0">
              <a:solidFill>
                <a:schemeClr val="bg1"/>
              </a:solidFill>
            </a:rPr>
            <a:t>      feb</a:t>
          </a:r>
        </a:p>
        <a:p>
          <a:pPr algn="l"/>
          <a:r>
            <a:rPr lang="en-IN" sz="1100" i="1" u="sng" baseline="0">
              <a:solidFill>
                <a:schemeClr val="bg1"/>
              </a:solidFill>
            </a:rPr>
            <a:t>Mar    Apr</a:t>
          </a:r>
        </a:p>
        <a:p>
          <a:pPr algn="l"/>
          <a:r>
            <a:rPr lang="en-IN" sz="1100" i="1" u="sng" baseline="0">
              <a:solidFill>
                <a:schemeClr val="bg1"/>
              </a:solidFill>
            </a:rPr>
            <a:t>May   Jun</a:t>
          </a:r>
        </a:p>
        <a:p>
          <a:pPr algn="l"/>
          <a:r>
            <a:rPr lang="en-IN" sz="1100" i="1" u="sng" baseline="0">
              <a:solidFill>
                <a:schemeClr val="bg1"/>
              </a:solidFill>
            </a:rPr>
            <a:t>Jul      Aug</a:t>
          </a:r>
        </a:p>
        <a:p>
          <a:pPr algn="l"/>
          <a:r>
            <a:rPr lang="en-IN" sz="1100" i="1" u="sng" baseline="0">
              <a:solidFill>
                <a:schemeClr val="bg1"/>
              </a:solidFill>
            </a:rPr>
            <a:t>Sep    Oct</a:t>
          </a:r>
        </a:p>
        <a:p>
          <a:pPr algn="l"/>
          <a:r>
            <a:rPr lang="en-IN" sz="1100" i="1" u="sng" baseline="0">
              <a:solidFill>
                <a:schemeClr val="bg1"/>
              </a:solidFill>
            </a:rPr>
            <a:t>Nov   Dec</a:t>
          </a:r>
          <a:endParaRPr lang="en-IN" sz="1100" i="1" u="sng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238125</xdr:colOff>
      <xdr:row>21</xdr:row>
      <xdr:rowOff>19050</xdr:rowOff>
    </xdr:from>
    <xdr:ext cx="184731" cy="264560"/>
    <xdr:sp macro="" textlink="">
      <xdr:nvSpPr>
        <xdr:cNvPr id="38" name="TextBox 37"/>
        <xdr:cNvSpPr txBox="1"/>
      </xdr:nvSpPr>
      <xdr:spPr>
        <a:xfrm>
          <a:off x="847725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9525</xdr:colOff>
      <xdr:row>20</xdr:row>
      <xdr:rowOff>142874</xdr:rowOff>
    </xdr:from>
    <xdr:ext cx="847725" cy="390525"/>
    <xdr:sp macro="" textlink="">
      <xdr:nvSpPr>
        <xdr:cNvPr id="39" name="TextBox 38"/>
        <xdr:cNvSpPr txBox="1"/>
      </xdr:nvSpPr>
      <xdr:spPr>
        <a:xfrm>
          <a:off x="619125" y="3952874"/>
          <a:ext cx="847725" cy="390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6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Region</a:t>
          </a:r>
        </a:p>
      </xdr:txBody>
    </xdr:sp>
    <xdr:clientData/>
  </xdr:oneCellAnchor>
  <xdr:oneCellAnchor>
    <xdr:from>
      <xdr:col>0</xdr:col>
      <xdr:colOff>600075</xdr:colOff>
      <xdr:row>22</xdr:row>
      <xdr:rowOff>133351</xdr:rowOff>
    </xdr:from>
    <xdr:ext cx="828675" cy="1028700"/>
    <xdr:sp macro="" textlink="">
      <xdr:nvSpPr>
        <xdr:cNvPr id="40" name="TextBox 39"/>
        <xdr:cNvSpPr txBox="1"/>
      </xdr:nvSpPr>
      <xdr:spPr>
        <a:xfrm>
          <a:off x="600075" y="4324351"/>
          <a:ext cx="828675" cy="1028700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>
              <a:solidFill>
                <a:schemeClr val="bg1">
                  <a:lumMod val="95000"/>
                </a:schemeClr>
              </a:solidFill>
            </a:rPr>
            <a:t>North</a:t>
          </a:r>
        </a:p>
        <a:p>
          <a:r>
            <a:rPr lang="en-IN" sz="1600">
              <a:solidFill>
                <a:schemeClr val="bg1">
                  <a:lumMod val="95000"/>
                </a:schemeClr>
              </a:solidFill>
            </a:rPr>
            <a:t>South</a:t>
          </a:r>
        </a:p>
        <a:p>
          <a:r>
            <a:rPr lang="en-IN" sz="1600">
              <a:solidFill>
                <a:schemeClr val="bg1">
                  <a:lumMod val="95000"/>
                </a:schemeClr>
              </a:solidFill>
            </a:rPr>
            <a:t>West</a:t>
          </a:r>
        </a:p>
        <a:p>
          <a:r>
            <a:rPr lang="en-IN" sz="1600">
              <a:solidFill>
                <a:schemeClr val="bg1">
                  <a:lumMod val="95000"/>
                </a:schemeClr>
              </a:solidFill>
            </a:rPr>
            <a:t>Eas</a:t>
          </a:r>
          <a:r>
            <a:rPr lang="en-IN" sz="1600"/>
            <a:t>t</a:t>
          </a:r>
        </a:p>
      </xdr:txBody>
    </xdr:sp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0.29478</cdr:x>
      <cdr:y>0.14286</cdr:y>
    </cdr:from>
    <cdr:to>
      <cdr:x>0.65299</cdr:x>
      <cdr:y>0.17619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52475" y="285750"/>
          <a:ext cx="914400" cy="66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0.3694</cdr:x>
      <cdr:y>0.09524</cdr:y>
    </cdr:from>
    <cdr:to>
      <cdr:x>0.72761</cdr:x>
      <cdr:y>0.15238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42975" y="190500"/>
          <a:ext cx="914400" cy="114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0.38129</cdr:x>
      <cdr:y>0.05714</cdr:y>
    </cdr:from>
    <cdr:to>
      <cdr:x>0.72662</cdr:x>
      <cdr:y>0.51429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009650" y="1143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200">
              <a:solidFill>
                <a:srgbClr val="FF3399"/>
              </a:solidFill>
            </a:rPr>
            <a:t>PRODUCT BY PROFIT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0.03333</cdr:y>
    </cdr:from>
    <cdr:to>
      <cdr:x>0.8869</cdr:x>
      <cdr:y>0.18095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23950" y="66675"/>
          <a:ext cx="171450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0.35714</cdr:x>
      <cdr:y>0.01905</cdr:y>
    </cdr:from>
    <cdr:to>
      <cdr:x>0.64286</cdr:x>
      <cdr:y>0.1619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43000" y="38100"/>
          <a:ext cx="914400" cy="285750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IN" sz="1600">
              <a:solidFill>
                <a:srgbClr val="FF3399"/>
              </a:solidFill>
            </a:rPr>
            <a:t>WEEKDAY BY PRODUCT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0.22594</cdr:x>
      <cdr:y>0.2402</cdr:y>
    </cdr:from>
    <cdr:to>
      <cdr:x>0.62762</cdr:x>
      <cdr:y>0.30392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14350" y="466725"/>
          <a:ext cx="914400" cy="1238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0.15063</cdr:x>
      <cdr:y>0.22549</cdr:y>
    </cdr:from>
    <cdr:to>
      <cdr:x>0.5523</cdr:x>
      <cdr:y>0.27451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2900" y="438150"/>
          <a:ext cx="914400" cy="95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0.22594</cdr:x>
      <cdr:y>0.27941</cdr:y>
    </cdr:from>
    <cdr:to>
      <cdr:x>0.62762</cdr:x>
      <cdr:y>0.75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14350" y="542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0.15481</cdr:x>
      <cdr:y>0.12255</cdr:y>
    </cdr:from>
    <cdr:to>
      <cdr:x>0.94142</cdr:x>
      <cdr:y>0.26471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52426" y="238125"/>
          <a:ext cx="179070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200">
              <a:solidFill>
                <a:srgbClr val="FF33CC"/>
              </a:solidFill>
            </a:rPr>
            <a:t>REVENUE BYBPRODUCT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0.47368</cdr:x>
      <cdr:y>0.07599</cdr:y>
    </cdr:from>
    <cdr:to>
      <cdr:x>0.93301</cdr:x>
      <cdr:y>0.1155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42975" y="238126"/>
          <a:ext cx="914400" cy="1238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0.49282</cdr:x>
      <cdr:y>0.07599</cdr:y>
    </cdr:from>
    <cdr:to>
      <cdr:x>0.95215</cdr:x>
      <cdr:y>0.09726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81075" y="238126"/>
          <a:ext cx="914400" cy="66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0.53589</cdr:x>
      <cdr:y>0.08207</cdr:y>
    </cdr:from>
    <cdr:to>
      <cdr:x>0.99522</cdr:x>
      <cdr:y>0.11246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066800" y="257176"/>
          <a:ext cx="914400" cy="95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/>
            <a:t>PROCT</a:t>
          </a:r>
        </a:p>
      </cdr:txBody>
    </cdr:sp>
  </cdr:relSizeAnchor>
  <cdr:relSizeAnchor xmlns:cdr="http://schemas.openxmlformats.org/drawingml/2006/chartDrawing">
    <cdr:from>
      <cdr:x>0.53589</cdr:x>
      <cdr:y>0.06991</cdr:y>
    </cdr:from>
    <cdr:to>
      <cdr:x>0.99522</cdr:x>
      <cdr:y>0.11854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066800" y="219076"/>
          <a:ext cx="914400" cy="152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endParaRPr lang="en-IN" sz="1200">
            <a:solidFill>
              <a:srgbClr val="FF33CC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0.33014</cdr:x>
      <cdr:y>0.05775</cdr:y>
    </cdr:from>
    <cdr:to>
      <cdr:x>0.78947</cdr:x>
      <cdr:y>0.13678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657225" y="180976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400">
              <a:solidFill>
                <a:srgbClr val="FF3399"/>
              </a:solidFill>
            </a:rPr>
            <a:t>PRODUCT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0.19136</cdr:x>
      <cdr:y>0.11468</cdr:y>
    </cdr:from>
    <cdr:to>
      <cdr:x>0.95062</cdr:x>
      <cdr:y>0.22936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85823" y="238125"/>
          <a:ext cx="35147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0.21399</cdr:x>
      <cdr:y>0.1422</cdr:y>
    </cdr:from>
    <cdr:to>
      <cdr:x>0.41152</cdr:x>
      <cdr:y>0.24312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90599" y="295275"/>
          <a:ext cx="914400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0.21811</cdr:x>
      <cdr:y>0.05046</cdr:y>
    </cdr:from>
    <cdr:to>
      <cdr:x>1</cdr:x>
      <cdr:y>0.19725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009649" y="104776"/>
          <a:ext cx="361950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800">
              <a:solidFill>
                <a:srgbClr val="D60093"/>
              </a:solidFill>
            </a:rPr>
            <a:t>MONTH &amp;</a:t>
          </a:r>
          <a:r>
            <a:rPr lang="en-IN" sz="1800" baseline="0">
              <a:solidFill>
                <a:srgbClr val="D60093"/>
              </a:solidFill>
            </a:rPr>
            <a:t> YEAR</a:t>
          </a:r>
          <a:endParaRPr lang="en-IN" sz="1800">
            <a:solidFill>
              <a:srgbClr val="D60093"/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0.40226</cdr:x>
      <cdr:y>0.04587</cdr:y>
    </cdr:from>
    <cdr:to>
      <cdr:x>0.98496</cdr:x>
      <cdr:y>0.1789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19174" y="95251"/>
          <a:ext cx="147637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0.10526</cdr:x>
      <cdr:y>0.10551</cdr:y>
    </cdr:from>
    <cdr:to>
      <cdr:x>0.82331</cdr:x>
      <cdr:y>0.25229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66699" y="219077"/>
          <a:ext cx="1819275" cy="3047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IN" sz="1600">
              <a:solidFill>
                <a:srgbClr val="FF3399"/>
              </a:solidFill>
            </a:rPr>
            <a:t>REVENUE BY REGION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0.22255</cdr:x>
      <cdr:y>0.16746</cdr:y>
    </cdr:from>
    <cdr:to>
      <cdr:x>1</cdr:x>
      <cdr:y>0.32536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14376" y="333375"/>
          <a:ext cx="2495549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0.30267</cdr:x>
      <cdr:y>0.16268</cdr:y>
    </cdr:from>
    <cdr:to>
      <cdr:x>1</cdr:x>
      <cdr:y>0.28708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71550" y="323850"/>
          <a:ext cx="22383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0.25748</cdr:x>
      <cdr:y>0.13242</cdr:y>
    </cdr:from>
    <cdr:to>
      <cdr:x>0.92515</cdr:x>
      <cdr:y>0.27854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819149" y="276226"/>
          <a:ext cx="212407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400">
              <a:solidFill>
                <a:srgbClr val="CC0099"/>
              </a:solidFill>
            </a:rPr>
            <a:t>MONTHLY PROFIT&amp;REVENUE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79.837353356481" createdVersion="6" refreshedVersion="6" minRefreshableVersion="3" recordCount="500">
  <cacheSource type="worksheet">
    <worksheetSource name="Table1"/>
  </cacheSource>
  <cacheFields count="12">
    <cacheField name=" Order" numFmtId="0">
      <sharedItems/>
    </cacheField>
    <cacheField name="OrderDate" numFmtId="164">
      <sharedItems containsSemiMixedTypes="0" containsNonDate="0" containsDate="1" containsString="0" minDate="2025-01-01T00:00:00" maxDate="2026-01-01T00:00:00"/>
    </cacheField>
    <cacheField name="Region" numFmtId="0">
      <sharedItems count="4">
        <s v="West"/>
        <s v="South"/>
        <s v="North"/>
        <s v="East"/>
      </sharedItems>
    </cacheField>
    <cacheField name="Category" numFmtId="0">
      <sharedItems/>
    </cacheField>
    <cacheField name="Product" numFmtId="0">
      <sharedItems count="10">
        <s v="Pen"/>
        <s v="Desk"/>
        <s v="Chair"/>
        <s v="Monitor"/>
        <s v="Mouse"/>
        <s v="Notebook"/>
        <s v="Paper"/>
        <s v="Keyboard"/>
        <s v="Cabinet"/>
        <s v="Laptop"/>
      </sharedItems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107" maxValue="4988"/>
    </cacheField>
    <cacheField name="Revenue" numFmtId="0">
      <sharedItems containsSemiMixedTypes="0" containsString="0" containsNumber="1" containsInteger="1" minValue="166" maxValue="49070"/>
    </cacheField>
    <cacheField name="Profit" numFmtId="0">
      <sharedItems containsSemiMixedTypes="0" containsString="0" containsNumber="1" minValue="21.56" maxValue="13336.86"/>
    </cacheField>
    <cacheField name="year" numFmtId="0">
      <sharedItems containsSemiMixedTypes="0" containsString="0" containsNumber="1" containsInteger="1" minValue="2025" maxValue="2025" count="1">
        <n v="2025"/>
      </sharedItems>
    </cacheField>
    <cacheField name="month" numFmtId="0">
      <sharedItems count="13">
        <s v="0ct"/>
        <s v="Mar"/>
        <s v="May"/>
        <s v="Jul"/>
        <s v="Oct"/>
        <s v="Feb"/>
        <s v="Jun"/>
        <s v="Apr"/>
        <s v="Dec"/>
        <s v="Aug"/>
        <s v="Nov"/>
        <s v="Jan"/>
        <s v="Sep"/>
      </sharedItems>
    </cacheField>
    <cacheField name="weekDay" numFmtId="0">
      <sharedItems count="7">
        <s v="Fri"/>
        <s v="Mon"/>
        <s v="Thu"/>
        <s v="Tue"/>
        <s v="Sat"/>
        <s v="Sun"/>
        <s v="W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ORD0001"/>
    <d v="2025-10-01T00:00:00"/>
    <x v="0"/>
    <s v="Office Supplies"/>
    <x v="0"/>
    <n v="4"/>
    <n v="2749"/>
    <n v="10996"/>
    <n v="2832.12"/>
    <x v="0"/>
    <x v="0"/>
    <x v="0"/>
  </r>
  <r>
    <s v="ORD0002"/>
    <d v="2025-03-31T00:00:00"/>
    <x v="1"/>
    <s v="Office Supplies"/>
    <x v="0"/>
    <n v="1"/>
    <n v="2464"/>
    <n v="2464"/>
    <n v="482.18"/>
    <x v="0"/>
    <x v="1"/>
    <x v="1"/>
  </r>
  <r>
    <s v="ORD0003"/>
    <d v="2025-05-22T00:00:00"/>
    <x v="1"/>
    <s v="Furniture"/>
    <x v="1"/>
    <n v="6"/>
    <n v="2983"/>
    <n v="17898"/>
    <n v="1469.51"/>
    <x v="0"/>
    <x v="2"/>
    <x v="2"/>
  </r>
  <r>
    <s v="ORD0004"/>
    <d v="2025-05-20T00:00:00"/>
    <x v="2"/>
    <s v="Furniture"/>
    <x v="2"/>
    <n v="4"/>
    <n v="420"/>
    <n v="1680"/>
    <n v="332.13"/>
    <x v="0"/>
    <x v="2"/>
    <x v="3"/>
  </r>
  <r>
    <s v="ORD0005"/>
    <d v="2025-07-19T00:00:00"/>
    <x v="1"/>
    <s v="Electronics"/>
    <x v="3"/>
    <n v="3"/>
    <n v="1350"/>
    <n v="4050"/>
    <n v="713.3"/>
    <x v="0"/>
    <x v="3"/>
    <x v="4"/>
  </r>
  <r>
    <s v="ORD0006"/>
    <d v="2025-10-18T00:00:00"/>
    <x v="2"/>
    <s v="Electronics"/>
    <x v="4"/>
    <n v="2"/>
    <n v="1100"/>
    <n v="2200"/>
    <n v="357.86"/>
    <x v="0"/>
    <x v="4"/>
    <x v="4"/>
  </r>
  <r>
    <s v="ORD0007"/>
    <d v="2025-02-13T00:00:00"/>
    <x v="2"/>
    <s v="Furniture"/>
    <x v="2"/>
    <n v="9"/>
    <n v="1230"/>
    <n v="11070"/>
    <n v="2935.47"/>
    <x v="0"/>
    <x v="5"/>
    <x v="2"/>
  </r>
  <r>
    <s v="ORD0008"/>
    <d v="2025-06-20T00:00:00"/>
    <x v="1"/>
    <s v="Furniture"/>
    <x v="2"/>
    <n v="2"/>
    <n v="454"/>
    <n v="908"/>
    <n v="170.91"/>
    <x v="0"/>
    <x v="6"/>
    <x v="0"/>
  </r>
  <r>
    <s v="ORD0009"/>
    <d v="2025-10-12T00:00:00"/>
    <x v="3"/>
    <s v="Furniture"/>
    <x v="2"/>
    <n v="3"/>
    <n v="3940"/>
    <n v="11820"/>
    <n v="1070.8"/>
    <x v="0"/>
    <x v="4"/>
    <x v="5"/>
  </r>
  <r>
    <s v="ORD0010"/>
    <d v="2025-02-28T00:00:00"/>
    <x v="0"/>
    <s v="Office Supplies"/>
    <x v="5"/>
    <n v="10"/>
    <n v="4254"/>
    <n v="42540"/>
    <n v="3494.11"/>
    <x v="0"/>
    <x v="5"/>
    <x v="0"/>
  </r>
  <r>
    <s v="ORD0011"/>
    <d v="2025-07-29T00:00:00"/>
    <x v="0"/>
    <s v="Furniture"/>
    <x v="2"/>
    <n v="4"/>
    <n v="2600"/>
    <n v="10400"/>
    <n v="1927.75"/>
    <x v="0"/>
    <x v="3"/>
    <x v="3"/>
  </r>
  <r>
    <s v="ORD0012"/>
    <d v="2025-04-08T00:00:00"/>
    <x v="1"/>
    <s v="Office Supplies"/>
    <x v="6"/>
    <n v="10"/>
    <n v="3766"/>
    <n v="37660"/>
    <n v="5598.39"/>
    <x v="0"/>
    <x v="7"/>
    <x v="3"/>
  </r>
  <r>
    <s v="ORD0013"/>
    <d v="2025-12-19T00:00:00"/>
    <x v="3"/>
    <s v="Office Supplies"/>
    <x v="5"/>
    <n v="10"/>
    <n v="2336"/>
    <n v="23360"/>
    <n v="4991.0200000000004"/>
    <x v="0"/>
    <x v="8"/>
    <x v="0"/>
  </r>
  <r>
    <s v="ORD0014"/>
    <d v="2025-04-14T00:00:00"/>
    <x v="1"/>
    <s v="Electronics"/>
    <x v="3"/>
    <n v="10"/>
    <n v="731"/>
    <n v="7310"/>
    <n v="2161.19"/>
    <x v="0"/>
    <x v="7"/>
    <x v="1"/>
  </r>
  <r>
    <s v="ORD0015"/>
    <d v="2025-08-12T00:00:00"/>
    <x v="1"/>
    <s v="Office Supplies"/>
    <x v="6"/>
    <n v="5"/>
    <n v="2954"/>
    <n v="14770"/>
    <n v="2381.15"/>
    <x v="0"/>
    <x v="9"/>
    <x v="3"/>
  </r>
  <r>
    <s v="ORD0016"/>
    <d v="2025-08-05T00:00:00"/>
    <x v="3"/>
    <s v="Office Supplies"/>
    <x v="5"/>
    <n v="2"/>
    <n v="3661"/>
    <n v="7322"/>
    <n v="804.3"/>
    <x v="0"/>
    <x v="9"/>
    <x v="3"/>
  </r>
  <r>
    <s v="ORD0017"/>
    <d v="2025-04-05T00:00:00"/>
    <x v="1"/>
    <s v="Electronics"/>
    <x v="3"/>
    <n v="4"/>
    <n v="3025"/>
    <n v="12100"/>
    <n v="3237.09"/>
    <x v="0"/>
    <x v="7"/>
    <x v="4"/>
  </r>
  <r>
    <s v="ORD0018"/>
    <d v="2025-11-23T00:00:00"/>
    <x v="3"/>
    <s v="Office Supplies"/>
    <x v="6"/>
    <n v="1"/>
    <n v="4320"/>
    <n v="4320"/>
    <n v="631.34"/>
    <x v="0"/>
    <x v="10"/>
    <x v="5"/>
  </r>
  <r>
    <s v="ORD0019"/>
    <d v="2025-07-02T00:00:00"/>
    <x v="1"/>
    <s v="Office Supplies"/>
    <x v="5"/>
    <n v="7"/>
    <n v="321"/>
    <n v="2247"/>
    <n v="356.77"/>
    <x v="0"/>
    <x v="3"/>
    <x v="6"/>
  </r>
  <r>
    <s v="ORD0020"/>
    <d v="2025-10-03T00:00:00"/>
    <x v="1"/>
    <s v="Office Supplies"/>
    <x v="5"/>
    <n v="6"/>
    <n v="1337"/>
    <n v="8022"/>
    <n v="1783.39"/>
    <x v="0"/>
    <x v="4"/>
    <x v="0"/>
  </r>
  <r>
    <s v="ORD0021"/>
    <d v="2025-01-23T00:00:00"/>
    <x v="0"/>
    <s v="Office Supplies"/>
    <x v="5"/>
    <n v="10"/>
    <n v="2517"/>
    <n v="25170"/>
    <n v="6611.17"/>
    <x v="0"/>
    <x v="11"/>
    <x v="2"/>
  </r>
  <r>
    <s v="ORD0022"/>
    <d v="2025-12-14T00:00:00"/>
    <x v="2"/>
    <s v="Furniture"/>
    <x v="1"/>
    <n v="10"/>
    <n v="4221"/>
    <n v="42210"/>
    <n v="3683.7"/>
    <x v="0"/>
    <x v="8"/>
    <x v="5"/>
  </r>
  <r>
    <s v="ORD0023"/>
    <d v="2025-11-15T00:00:00"/>
    <x v="1"/>
    <s v="Electronics"/>
    <x v="7"/>
    <n v="7"/>
    <n v="333"/>
    <n v="2331"/>
    <n v="301.44"/>
    <x v="0"/>
    <x v="10"/>
    <x v="4"/>
  </r>
  <r>
    <s v="ORD0024"/>
    <d v="2025-12-18T00:00:00"/>
    <x v="0"/>
    <s v="Office Supplies"/>
    <x v="5"/>
    <n v="10"/>
    <n v="641"/>
    <n v="6410"/>
    <n v="613.27"/>
    <x v="0"/>
    <x v="8"/>
    <x v="2"/>
  </r>
  <r>
    <s v="ORD0025"/>
    <d v="2025-03-16T00:00:00"/>
    <x v="1"/>
    <s v="Electronics"/>
    <x v="3"/>
    <n v="4"/>
    <n v="2524"/>
    <n v="10096"/>
    <n v="1052.0899999999999"/>
    <x v="0"/>
    <x v="1"/>
    <x v="5"/>
  </r>
  <r>
    <s v="ORD0026"/>
    <d v="2025-01-19T00:00:00"/>
    <x v="3"/>
    <s v="Electronics"/>
    <x v="4"/>
    <n v="1"/>
    <n v="301"/>
    <n v="301"/>
    <n v="61.22"/>
    <x v="0"/>
    <x v="11"/>
    <x v="5"/>
  </r>
  <r>
    <s v="ORD0027"/>
    <d v="2025-05-05T00:00:00"/>
    <x v="1"/>
    <s v="Office Supplies"/>
    <x v="6"/>
    <n v="8"/>
    <n v="4355"/>
    <n v="34840"/>
    <n v="7779.22"/>
    <x v="0"/>
    <x v="2"/>
    <x v="1"/>
  </r>
  <r>
    <s v="ORD0028"/>
    <d v="2025-06-18T00:00:00"/>
    <x v="0"/>
    <s v="Office Supplies"/>
    <x v="0"/>
    <n v="3"/>
    <n v="3393"/>
    <n v="10179"/>
    <n v="1424.8"/>
    <x v="0"/>
    <x v="6"/>
    <x v="6"/>
  </r>
  <r>
    <s v="ORD0029"/>
    <d v="2025-04-14T00:00:00"/>
    <x v="0"/>
    <s v="Furniture"/>
    <x v="1"/>
    <n v="3"/>
    <n v="1674"/>
    <n v="5022"/>
    <n v="572.87"/>
    <x v="0"/>
    <x v="7"/>
    <x v="1"/>
  </r>
  <r>
    <s v="ORD0030"/>
    <d v="2025-07-14T00:00:00"/>
    <x v="3"/>
    <s v="Electronics"/>
    <x v="4"/>
    <n v="4"/>
    <n v="835"/>
    <n v="3340"/>
    <n v="631.77"/>
    <x v="0"/>
    <x v="3"/>
    <x v="1"/>
  </r>
  <r>
    <s v="ORD0031"/>
    <d v="2025-08-08T00:00:00"/>
    <x v="1"/>
    <s v="Electronics"/>
    <x v="3"/>
    <n v="7"/>
    <n v="4412"/>
    <n v="30884"/>
    <n v="7057.13"/>
    <x v="0"/>
    <x v="9"/>
    <x v="0"/>
  </r>
  <r>
    <s v="ORD0032"/>
    <d v="2025-04-29T00:00:00"/>
    <x v="3"/>
    <s v="Furniture"/>
    <x v="1"/>
    <n v="6"/>
    <n v="2272"/>
    <n v="13632"/>
    <n v="1090.98"/>
    <x v="0"/>
    <x v="7"/>
    <x v="3"/>
  </r>
  <r>
    <s v="ORD0033"/>
    <d v="2025-03-18T00:00:00"/>
    <x v="2"/>
    <s v="Furniture"/>
    <x v="1"/>
    <n v="7"/>
    <n v="438"/>
    <n v="3066"/>
    <n v="363.88"/>
    <x v="0"/>
    <x v="1"/>
    <x v="3"/>
  </r>
  <r>
    <s v="ORD0034"/>
    <d v="2025-10-04T00:00:00"/>
    <x v="2"/>
    <s v="Office Supplies"/>
    <x v="6"/>
    <n v="10"/>
    <n v="3541"/>
    <n v="35410"/>
    <n v="8723.9599999999991"/>
    <x v="0"/>
    <x v="4"/>
    <x v="4"/>
  </r>
  <r>
    <s v="ORD0035"/>
    <d v="2025-09-12T00:00:00"/>
    <x v="1"/>
    <s v="Office Supplies"/>
    <x v="5"/>
    <n v="4"/>
    <n v="4655"/>
    <n v="18620"/>
    <n v="3146.66"/>
    <x v="0"/>
    <x v="12"/>
    <x v="0"/>
  </r>
  <r>
    <s v="ORD0036"/>
    <d v="2025-10-02T00:00:00"/>
    <x v="3"/>
    <s v="Office Supplies"/>
    <x v="5"/>
    <n v="7"/>
    <n v="3972"/>
    <n v="27804"/>
    <n v="7372.23"/>
    <x v="0"/>
    <x v="4"/>
    <x v="2"/>
  </r>
  <r>
    <s v="ORD0037"/>
    <d v="2025-08-18T00:00:00"/>
    <x v="1"/>
    <s v="Electronics"/>
    <x v="4"/>
    <n v="4"/>
    <n v="3664"/>
    <n v="14656"/>
    <n v="1317.76"/>
    <x v="0"/>
    <x v="9"/>
    <x v="1"/>
  </r>
  <r>
    <s v="ORD0038"/>
    <d v="2025-05-13T00:00:00"/>
    <x v="3"/>
    <s v="Office Supplies"/>
    <x v="0"/>
    <n v="1"/>
    <n v="3444"/>
    <n v="3444"/>
    <n v="288.85000000000002"/>
    <x v="0"/>
    <x v="2"/>
    <x v="3"/>
  </r>
  <r>
    <s v="ORD0039"/>
    <d v="2025-03-31T00:00:00"/>
    <x v="1"/>
    <s v="Office Supplies"/>
    <x v="5"/>
    <n v="6"/>
    <n v="692"/>
    <n v="4152"/>
    <n v="1053.8699999999999"/>
    <x v="0"/>
    <x v="1"/>
    <x v="1"/>
  </r>
  <r>
    <s v="ORD0040"/>
    <d v="2025-09-14T00:00:00"/>
    <x v="1"/>
    <s v="Electronics"/>
    <x v="3"/>
    <n v="1"/>
    <n v="1601"/>
    <n v="1601"/>
    <n v="145.99"/>
    <x v="0"/>
    <x v="12"/>
    <x v="5"/>
  </r>
  <r>
    <s v="ORD0041"/>
    <d v="2025-11-28T00:00:00"/>
    <x v="1"/>
    <s v="Electronics"/>
    <x v="4"/>
    <n v="5"/>
    <n v="2872"/>
    <n v="14360"/>
    <n v="1963.33"/>
    <x v="0"/>
    <x v="10"/>
    <x v="0"/>
  </r>
  <r>
    <s v="ORD0042"/>
    <d v="2025-08-30T00:00:00"/>
    <x v="0"/>
    <s v="Furniture"/>
    <x v="2"/>
    <n v="4"/>
    <n v="3708"/>
    <n v="14832"/>
    <n v="3834.95"/>
    <x v="0"/>
    <x v="9"/>
    <x v="4"/>
  </r>
  <r>
    <s v="ORD0043"/>
    <d v="2025-09-04T00:00:00"/>
    <x v="3"/>
    <s v="Electronics"/>
    <x v="3"/>
    <n v="3"/>
    <n v="811"/>
    <n v="2433"/>
    <n v="212.49"/>
    <x v="0"/>
    <x v="12"/>
    <x v="2"/>
  </r>
  <r>
    <s v="ORD0044"/>
    <d v="2025-02-02T00:00:00"/>
    <x v="2"/>
    <s v="Electronics"/>
    <x v="4"/>
    <n v="3"/>
    <n v="3763"/>
    <n v="11289"/>
    <n v="2703.1"/>
    <x v="0"/>
    <x v="5"/>
    <x v="5"/>
  </r>
  <r>
    <s v="ORD0045"/>
    <d v="2025-06-11T00:00:00"/>
    <x v="2"/>
    <s v="Office Supplies"/>
    <x v="6"/>
    <n v="7"/>
    <n v="4549"/>
    <n v="31843"/>
    <n v="6044.98"/>
    <x v="0"/>
    <x v="6"/>
    <x v="6"/>
  </r>
  <r>
    <s v="ORD0046"/>
    <d v="2025-07-25T00:00:00"/>
    <x v="0"/>
    <s v="Office Supplies"/>
    <x v="6"/>
    <n v="6"/>
    <n v="1804"/>
    <n v="10824"/>
    <n v="1632.06"/>
    <x v="0"/>
    <x v="3"/>
    <x v="0"/>
  </r>
  <r>
    <s v="ORD0047"/>
    <d v="2025-03-28T00:00:00"/>
    <x v="0"/>
    <s v="Office Supplies"/>
    <x v="6"/>
    <n v="8"/>
    <n v="1656"/>
    <n v="13248"/>
    <n v="3359.61"/>
    <x v="0"/>
    <x v="1"/>
    <x v="0"/>
  </r>
  <r>
    <s v="ORD0048"/>
    <d v="2025-12-07T00:00:00"/>
    <x v="3"/>
    <s v="Electronics"/>
    <x v="3"/>
    <n v="7"/>
    <n v="3673"/>
    <n v="25711"/>
    <n v="7398.45"/>
    <x v="0"/>
    <x v="8"/>
    <x v="5"/>
  </r>
  <r>
    <s v="ORD0049"/>
    <d v="2025-12-28T00:00:00"/>
    <x v="1"/>
    <s v="Office Supplies"/>
    <x v="0"/>
    <n v="4"/>
    <n v="4269"/>
    <n v="17076"/>
    <n v="3675.82"/>
    <x v="0"/>
    <x v="8"/>
    <x v="5"/>
  </r>
  <r>
    <s v="ORD0050"/>
    <d v="2025-11-25T00:00:00"/>
    <x v="2"/>
    <s v="Furniture"/>
    <x v="2"/>
    <n v="9"/>
    <n v="2204"/>
    <n v="19836"/>
    <n v="5436.31"/>
    <x v="0"/>
    <x v="10"/>
    <x v="3"/>
  </r>
  <r>
    <s v="ORD0051"/>
    <d v="2025-03-06T00:00:00"/>
    <x v="0"/>
    <s v="Electronics"/>
    <x v="4"/>
    <n v="3"/>
    <n v="4395"/>
    <n v="13185"/>
    <n v="3251.11"/>
    <x v="0"/>
    <x v="1"/>
    <x v="2"/>
  </r>
  <r>
    <s v="ORD0052"/>
    <d v="2025-06-23T00:00:00"/>
    <x v="2"/>
    <s v="Office Supplies"/>
    <x v="6"/>
    <n v="2"/>
    <n v="2672"/>
    <n v="5344"/>
    <n v="582.79999999999995"/>
    <x v="0"/>
    <x v="6"/>
    <x v="1"/>
  </r>
  <r>
    <s v="ORD0053"/>
    <d v="2025-09-27T00:00:00"/>
    <x v="3"/>
    <s v="Office Supplies"/>
    <x v="5"/>
    <n v="10"/>
    <n v="107"/>
    <n v="1070"/>
    <n v="278.38"/>
    <x v="0"/>
    <x v="12"/>
    <x v="4"/>
  </r>
  <r>
    <s v="ORD0054"/>
    <d v="2025-08-11T00:00:00"/>
    <x v="3"/>
    <s v="Furniture"/>
    <x v="1"/>
    <n v="4"/>
    <n v="146"/>
    <n v="584"/>
    <n v="116.7"/>
    <x v="0"/>
    <x v="9"/>
    <x v="1"/>
  </r>
  <r>
    <s v="ORD0055"/>
    <d v="2025-01-22T00:00:00"/>
    <x v="2"/>
    <s v="Office Supplies"/>
    <x v="0"/>
    <n v="4"/>
    <n v="4925"/>
    <n v="19700"/>
    <n v="3738.27"/>
    <x v="0"/>
    <x v="11"/>
    <x v="6"/>
  </r>
  <r>
    <s v="ORD0056"/>
    <d v="2025-10-07T00:00:00"/>
    <x v="2"/>
    <s v="Electronics"/>
    <x v="4"/>
    <n v="10"/>
    <n v="1054"/>
    <n v="10540"/>
    <n v="1965.48"/>
    <x v="0"/>
    <x v="4"/>
    <x v="3"/>
  </r>
  <r>
    <s v="ORD0057"/>
    <d v="2025-09-11T00:00:00"/>
    <x v="2"/>
    <s v="Furniture"/>
    <x v="8"/>
    <n v="7"/>
    <n v="3215"/>
    <n v="22505"/>
    <n v="5949.83"/>
    <x v="0"/>
    <x v="12"/>
    <x v="2"/>
  </r>
  <r>
    <s v="ORD0058"/>
    <d v="2025-06-15T00:00:00"/>
    <x v="3"/>
    <s v="Electronics"/>
    <x v="7"/>
    <n v="2"/>
    <n v="3572"/>
    <n v="7144"/>
    <n v="1414.39"/>
    <x v="0"/>
    <x v="6"/>
    <x v="5"/>
  </r>
  <r>
    <s v="ORD0059"/>
    <d v="2025-09-21T00:00:00"/>
    <x v="3"/>
    <s v="Furniture"/>
    <x v="2"/>
    <n v="5"/>
    <n v="157"/>
    <n v="785"/>
    <n v="194.58"/>
    <x v="0"/>
    <x v="12"/>
    <x v="5"/>
  </r>
  <r>
    <s v="ORD0060"/>
    <d v="2025-04-23T00:00:00"/>
    <x v="2"/>
    <s v="Electronics"/>
    <x v="3"/>
    <n v="9"/>
    <n v="2367"/>
    <n v="21303"/>
    <n v="3858.27"/>
    <x v="0"/>
    <x v="7"/>
    <x v="6"/>
  </r>
  <r>
    <s v="ORD0061"/>
    <d v="2025-03-02T00:00:00"/>
    <x v="3"/>
    <s v="Electronics"/>
    <x v="7"/>
    <n v="4"/>
    <n v="466"/>
    <n v="1864"/>
    <n v="460.37"/>
    <x v="0"/>
    <x v="1"/>
    <x v="5"/>
  </r>
  <r>
    <s v="ORD0062"/>
    <d v="2025-11-06T00:00:00"/>
    <x v="0"/>
    <s v="Office Supplies"/>
    <x v="5"/>
    <n v="3"/>
    <n v="846"/>
    <n v="2538"/>
    <n v="461.1"/>
    <x v="0"/>
    <x v="10"/>
    <x v="2"/>
  </r>
  <r>
    <s v="ORD0063"/>
    <d v="2025-06-01T00:00:00"/>
    <x v="1"/>
    <s v="Furniture"/>
    <x v="2"/>
    <n v="8"/>
    <n v="656"/>
    <n v="5248"/>
    <n v="1316.95"/>
    <x v="0"/>
    <x v="6"/>
    <x v="5"/>
  </r>
  <r>
    <s v="ORD0064"/>
    <d v="2025-06-19T00:00:00"/>
    <x v="0"/>
    <s v="Electronics"/>
    <x v="9"/>
    <n v="4"/>
    <n v="868"/>
    <n v="3472"/>
    <n v="287.16000000000003"/>
    <x v="0"/>
    <x v="6"/>
    <x v="2"/>
  </r>
  <r>
    <s v="ORD0065"/>
    <d v="2025-07-24T00:00:00"/>
    <x v="0"/>
    <s v="Furniture"/>
    <x v="8"/>
    <n v="7"/>
    <n v="4076"/>
    <n v="28532"/>
    <n v="8430.56"/>
    <x v="0"/>
    <x v="3"/>
    <x v="2"/>
  </r>
  <r>
    <s v="ORD0066"/>
    <d v="2025-05-08T00:00:00"/>
    <x v="1"/>
    <s v="Furniture"/>
    <x v="2"/>
    <n v="10"/>
    <n v="4746"/>
    <n v="47460"/>
    <n v="8243.24"/>
    <x v="0"/>
    <x v="2"/>
    <x v="2"/>
  </r>
  <r>
    <s v="ORD0067"/>
    <d v="2025-05-20T00:00:00"/>
    <x v="0"/>
    <s v="Office Supplies"/>
    <x v="6"/>
    <n v="6"/>
    <n v="3314"/>
    <n v="19884"/>
    <n v="5742.21"/>
    <x v="0"/>
    <x v="2"/>
    <x v="3"/>
  </r>
  <r>
    <s v="ORD0068"/>
    <d v="2025-09-12T00:00:00"/>
    <x v="1"/>
    <s v="Furniture"/>
    <x v="8"/>
    <n v="5"/>
    <n v="3503"/>
    <n v="17515"/>
    <n v="3695.32"/>
    <x v="0"/>
    <x v="12"/>
    <x v="0"/>
  </r>
  <r>
    <s v="ORD0069"/>
    <d v="2025-01-20T00:00:00"/>
    <x v="1"/>
    <s v="Office Supplies"/>
    <x v="6"/>
    <n v="10"/>
    <n v="3998"/>
    <n v="39980"/>
    <n v="4018.85"/>
    <x v="0"/>
    <x v="11"/>
    <x v="1"/>
  </r>
  <r>
    <s v="ORD0070"/>
    <d v="2025-11-06T00:00:00"/>
    <x v="2"/>
    <s v="Electronics"/>
    <x v="4"/>
    <n v="2"/>
    <n v="3430"/>
    <n v="6860"/>
    <n v="601.24"/>
    <x v="0"/>
    <x v="10"/>
    <x v="2"/>
  </r>
  <r>
    <s v="ORD0071"/>
    <d v="2025-08-16T00:00:00"/>
    <x v="1"/>
    <s v="Electronics"/>
    <x v="3"/>
    <n v="9"/>
    <n v="905"/>
    <n v="8145"/>
    <n v="1712.37"/>
    <x v="0"/>
    <x v="9"/>
    <x v="4"/>
  </r>
  <r>
    <s v="ORD0072"/>
    <d v="2025-02-10T00:00:00"/>
    <x v="0"/>
    <s v="Electronics"/>
    <x v="3"/>
    <n v="6"/>
    <n v="3205"/>
    <n v="19230"/>
    <n v="4594.08"/>
    <x v="0"/>
    <x v="5"/>
    <x v="1"/>
  </r>
  <r>
    <s v="ORD0073"/>
    <d v="2025-03-04T00:00:00"/>
    <x v="3"/>
    <s v="Electronics"/>
    <x v="7"/>
    <n v="10"/>
    <n v="4053"/>
    <n v="40530"/>
    <n v="5805.32"/>
    <x v="0"/>
    <x v="1"/>
    <x v="3"/>
  </r>
  <r>
    <s v="ORD0074"/>
    <d v="2025-12-26T00:00:00"/>
    <x v="2"/>
    <s v="Office Supplies"/>
    <x v="5"/>
    <n v="6"/>
    <n v="1734"/>
    <n v="10404"/>
    <n v="1558.65"/>
    <x v="0"/>
    <x v="8"/>
    <x v="0"/>
  </r>
  <r>
    <s v="ORD0075"/>
    <d v="2025-06-18T00:00:00"/>
    <x v="3"/>
    <s v="Electronics"/>
    <x v="9"/>
    <n v="8"/>
    <n v="1897"/>
    <n v="15176"/>
    <n v="1744.15"/>
    <x v="0"/>
    <x v="6"/>
    <x v="6"/>
  </r>
  <r>
    <s v="ORD0076"/>
    <d v="2025-02-20T00:00:00"/>
    <x v="0"/>
    <s v="Electronics"/>
    <x v="4"/>
    <n v="6"/>
    <n v="2042"/>
    <n v="12252"/>
    <n v="3124.69"/>
    <x v="0"/>
    <x v="5"/>
    <x v="2"/>
  </r>
  <r>
    <s v="ORD0077"/>
    <d v="2025-04-10T00:00:00"/>
    <x v="3"/>
    <s v="Office Supplies"/>
    <x v="0"/>
    <n v="3"/>
    <n v="4028"/>
    <n v="12084"/>
    <n v="2473.7399999999998"/>
    <x v="0"/>
    <x v="7"/>
    <x v="2"/>
  </r>
  <r>
    <s v="ORD0078"/>
    <d v="2025-09-29T00:00:00"/>
    <x v="3"/>
    <s v="Office Supplies"/>
    <x v="5"/>
    <n v="1"/>
    <n v="4443"/>
    <n v="4443"/>
    <n v="1178.48"/>
    <x v="0"/>
    <x v="12"/>
    <x v="1"/>
  </r>
  <r>
    <s v="ORD0079"/>
    <d v="2025-09-09T00:00:00"/>
    <x v="1"/>
    <s v="Electronics"/>
    <x v="3"/>
    <n v="9"/>
    <n v="602"/>
    <n v="5418"/>
    <n v="673.89"/>
    <x v="0"/>
    <x v="12"/>
    <x v="3"/>
  </r>
  <r>
    <s v="ORD0080"/>
    <d v="2025-12-25T00:00:00"/>
    <x v="3"/>
    <s v="Electronics"/>
    <x v="3"/>
    <n v="1"/>
    <n v="3178"/>
    <n v="3178"/>
    <n v="698.4"/>
    <x v="0"/>
    <x v="8"/>
    <x v="2"/>
  </r>
  <r>
    <s v="ORD0081"/>
    <d v="2025-02-25T00:00:00"/>
    <x v="3"/>
    <s v="Office Supplies"/>
    <x v="6"/>
    <n v="7"/>
    <n v="780"/>
    <n v="5460"/>
    <n v="1452.2"/>
    <x v="0"/>
    <x v="5"/>
    <x v="3"/>
  </r>
  <r>
    <s v="ORD0082"/>
    <d v="2025-07-24T00:00:00"/>
    <x v="3"/>
    <s v="Electronics"/>
    <x v="4"/>
    <n v="6"/>
    <n v="3100"/>
    <n v="18600"/>
    <n v="2187.59"/>
    <x v="0"/>
    <x v="3"/>
    <x v="2"/>
  </r>
  <r>
    <s v="ORD0083"/>
    <d v="2025-03-28T00:00:00"/>
    <x v="0"/>
    <s v="Electronics"/>
    <x v="3"/>
    <n v="7"/>
    <n v="2747"/>
    <n v="19229"/>
    <n v="1832.08"/>
    <x v="0"/>
    <x v="1"/>
    <x v="0"/>
  </r>
  <r>
    <s v="ORD0084"/>
    <d v="2025-07-06T00:00:00"/>
    <x v="0"/>
    <s v="Electronics"/>
    <x v="3"/>
    <n v="3"/>
    <n v="1845"/>
    <n v="5535"/>
    <n v="894.78"/>
    <x v="0"/>
    <x v="3"/>
    <x v="5"/>
  </r>
  <r>
    <s v="ORD0085"/>
    <d v="2025-06-18T00:00:00"/>
    <x v="3"/>
    <s v="Office Supplies"/>
    <x v="6"/>
    <n v="5"/>
    <n v="2209"/>
    <n v="11045"/>
    <n v="2525.0700000000002"/>
    <x v="0"/>
    <x v="6"/>
    <x v="6"/>
  </r>
  <r>
    <s v="ORD0086"/>
    <d v="2025-04-11T00:00:00"/>
    <x v="0"/>
    <s v="Office Supplies"/>
    <x v="6"/>
    <n v="10"/>
    <n v="1380"/>
    <n v="13800"/>
    <n v="1251.97"/>
    <x v="0"/>
    <x v="7"/>
    <x v="0"/>
  </r>
  <r>
    <s v="ORD0087"/>
    <d v="2025-03-23T00:00:00"/>
    <x v="2"/>
    <s v="Electronics"/>
    <x v="4"/>
    <n v="2"/>
    <n v="4724"/>
    <n v="9448"/>
    <n v="1051.6199999999999"/>
    <x v="0"/>
    <x v="1"/>
    <x v="5"/>
  </r>
  <r>
    <s v="ORD0088"/>
    <d v="2025-01-22T00:00:00"/>
    <x v="0"/>
    <s v="Office Supplies"/>
    <x v="0"/>
    <n v="6"/>
    <n v="370"/>
    <n v="2220"/>
    <n v="624.1"/>
    <x v="0"/>
    <x v="11"/>
    <x v="6"/>
  </r>
  <r>
    <s v="ORD0089"/>
    <d v="2025-10-11T00:00:00"/>
    <x v="3"/>
    <s v="Furniture"/>
    <x v="1"/>
    <n v="5"/>
    <n v="4226"/>
    <n v="21130"/>
    <n v="4803.04"/>
    <x v="0"/>
    <x v="4"/>
    <x v="4"/>
  </r>
  <r>
    <s v="ORD0090"/>
    <d v="2025-07-10T00:00:00"/>
    <x v="0"/>
    <s v="Office Supplies"/>
    <x v="5"/>
    <n v="4"/>
    <n v="2608"/>
    <n v="10432"/>
    <n v="1010.72"/>
    <x v="0"/>
    <x v="3"/>
    <x v="2"/>
  </r>
  <r>
    <s v="ORD0091"/>
    <d v="2025-01-18T00:00:00"/>
    <x v="1"/>
    <s v="Electronics"/>
    <x v="3"/>
    <n v="10"/>
    <n v="777"/>
    <n v="7770"/>
    <n v="1981.56"/>
    <x v="0"/>
    <x v="11"/>
    <x v="4"/>
  </r>
  <r>
    <s v="ORD0092"/>
    <d v="2025-09-15T00:00:00"/>
    <x v="2"/>
    <s v="Furniture"/>
    <x v="1"/>
    <n v="8"/>
    <n v="3741"/>
    <n v="29928"/>
    <n v="3174.24"/>
    <x v="0"/>
    <x v="12"/>
    <x v="1"/>
  </r>
  <r>
    <s v="ORD0093"/>
    <d v="2025-03-01T00:00:00"/>
    <x v="0"/>
    <s v="Electronics"/>
    <x v="7"/>
    <n v="4"/>
    <n v="2864"/>
    <n v="11456"/>
    <n v="2421.61"/>
    <x v="0"/>
    <x v="1"/>
    <x v="4"/>
  </r>
  <r>
    <s v="ORD0094"/>
    <d v="2025-06-16T00:00:00"/>
    <x v="3"/>
    <s v="Office Supplies"/>
    <x v="6"/>
    <n v="8"/>
    <n v="1755"/>
    <n v="14040"/>
    <n v="1916.24"/>
    <x v="0"/>
    <x v="6"/>
    <x v="1"/>
  </r>
  <r>
    <s v="ORD0095"/>
    <d v="2025-04-28T00:00:00"/>
    <x v="3"/>
    <s v="Electronics"/>
    <x v="9"/>
    <n v="7"/>
    <n v="4445"/>
    <n v="31115"/>
    <n v="7818.53"/>
    <x v="0"/>
    <x v="7"/>
    <x v="1"/>
  </r>
  <r>
    <s v="ORD0096"/>
    <d v="2025-11-14T00:00:00"/>
    <x v="0"/>
    <s v="Office Supplies"/>
    <x v="0"/>
    <n v="5"/>
    <n v="1364"/>
    <n v="6820"/>
    <n v="770.71"/>
    <x v="0"/>
    <x v="10"/>
    <x v="0"/>
  </r>
  <r>
    <s v="ORD0097"/>
    <d v="2025-09-05T00:00:00"/>
    <x v="3"/>
    <s v="Office Supplies"/>
    <x v="5"/>
    <n v="9"/>
    <n v="3547"/>
    <n v="31923"/>
    <n v="4439.12"/>
    <x v="0"/>
    <x v="12"/>
    <x v="0"/>
  </r>
  <r>
    <s v="ORD0098"/>
    <d v="2025-11-27T00:00:00"/>
    <x v="0"/>
    <s v="Electronics"/>
    <x v="4"/>
    <n v="7"/>
    <n v="3298"/>
    <n v="23086"/>
    <n v="4568.09"/>
    <x v="0"/>
    <x v="10"/>
    <x v="2"/>
  </r>
  <r>
    <s v="ORD0099"/>
    <d v="2025-08-20T00:00:00"/>
    <x v="3"/>
    <s v="Furniture"/>
    <x v="1"/>
    <n v="5"/>
    <n v="1239"/>
    <n v="6195"/>
    <n v="990.87"/>
    <x v="0"/>
    <x v="9"/>
    <x v="6"/>
  </r>
  <r>
    <s v="ORD0100"/>
    <d v="2025-05-25T00:00:00"/>
    <x v="2"/>
    <s v="Furniture"/>
    <x v="8"/>
    <n v="3"/>
    <n v="2100"/>
    <n v="6300"/>
    <n v="1299.3399999999999"/>
    <x v="0"/>
    <x v="2"/>
    <x v="5"/>
  </r>
  <r>
    <s v="ORD0101"/>
    <d v="2025-10-09T00:00:00"/>
    <x v="2"/>
    <s v="Office Supplies"/>
    <x v="5"/>
    <n v="4"/>
    <n v="4256"/>
    <n v="17024"/>
    <n v="2587.9899999999998"/>
    <x v="0"/>
    <x v="4"/>
    <x v="2"/>
  </r>
  <r>
    <s v="ORD0102"/>
    <d v="2025-03-08T00:00:00"/>
    <x v="0"/>
    <s v="Office Supplies"/>
    <x v="5"/>
    <n v="1"/>
    <n v="3830"/>
    <n v="3830"/>
    <n v="378.4"/>
    <x v="0"/>
    <x v="1"/>
    <x v="4"/>
  </r>
  <r>
    <s v="ORD0103"/>
    <d v="2025-07-12T00:00:00"/>
    <x v="1"/>
    <s v="Furniture"/>
    <x v="8"/>
    <n v="2"/>
    <n v="876"/>
    <n v="1752"/>
    <n v="415.4"/>
    <x v="0"/>
    <x v="3"/>
    <x v="4"/>
  </r>
  <r>
    <s v="ORD0104"/>
    <d v="2025-03-24T00:00:00"/>
    <x v="0"/>
    <s v="Furniture"/>
    <x v="2"/>
    <n v="10"/>
    <n v="153"/>
    <n v="1530"/>
    <n v="415.85"/>
    <x v="0"/>
    <x v="1"/>
    <x v="1"/>
  </r>
  <r>
    <s v="ORD0105"/>
    <d v="2025-10-21T00:00:00"/>
    <x v="0"/>
    <s v="Furniture"/>
    <x v="1"/>
    <n v="6"/>
    <n v="2025"/>
    <n v="12150"/>
    <n v="2947.89"/>
    <x v="0"/>
    <x v="4"/>
    <x v="3"/>
  </r>
  <r>
    <s v="ORD0106"/>
    <d v="2025-08-23T00:00:00"/>
    <x v="1"/>
    <s v="Furniture"/>
    <x v="8"/>
    <n v="9"/>
    <n v="4752"/>
    <n v="42768"/>
    <n v="10683.31"/>
    <x v="0"/>
    <x v="9"/>
    <x v="4"/>
  </r>
  <r>
    <s v="ORD0107"/>
    <d v="2025-03-12T00:00:00"/>
    <x v="3"/>
    <s v="Furniture"/>
    <x v="8"/>
    <n v="3"/>
    <n v="1139"/>
    <n v="3417"/>
    <n v="577.67999999999995"/>
    <x v="0"/>
    <x v="1"/>
    <x v="6"/>
  </r>
  <r>
    <s v="ORD0108"/>
    <d v="2025-02-10T00:00:00"/>
    <x v="3"/>
    <s v="Furniture"/>
    <x v="2"/>
    <n v="1"/>
    <n v="2880"/>
    <n v="2880"/>
    <n v="358.05"/>
    <x v="0"/>
    <x v="5"/>
    <x v="1"/>
  </r>
  <r>
    <s v="ORD0109"/>
    <d v="2025-01-25T00:00:00"/>
    <x v="2"/>
    <s v="Electronics"/>
    <x v="3"/>
    <n v="9"/>
    <n v="3946"/>
    <n v="35514"/>
    <n v="7097.36"/>
    <x v="0"/>
    <x v="11"/>
    <x v="4"/>
  </r>
  <r>
    <s v="ORD0110"/>
    <d v="2025-08-10T00:00:00"/>
    <x v="2"/>
    <s v="Office Supplies"/>
    <x v="5"/>
    <n v="4"/>
    <n v="2327"/>
    <n v="9308"/>
    <n v="1412.87"/>
    <x v="0"/>
    <x v="9"/>
    <x v="5"/>
  </r>
  <r>
    <s v="ORD0111"/>
    <d v="2025-02-17T00:00:00"/>
    <x v="0"/>
    <s v="Electronics"/>
    <x v="7"/>
    <n v="1"/>
    <n v="3203"/>
    <n v="3203"/>
    <n v="662.65"/>
    <x v="0"/>
    <x v="5"/>
    <x v="1"/>
  </r>
  <r>
    <s v="ORD0112"/>
    <d v="2025-05-30T00:00:00"/>
    <x v="3"/>
    <s v="Furniture"/>
    <x v="1"/>
    <n v="5"/>
    <n v="4159"/>
    <n v="20795"/>
    <n v="2449.3000000000002"/>
    <x v="0"/>
    <x v="2"/>
    <x v="0"/>
  </r>
  <r>
    <s v="ORD0113"/>
    <d v="2025-10-15T00:00:00"/>
    <x v="0"/>
    <s v="Electronics"/>
    <x v="4"/>
    <n v="5"/>
    <n v="4465"/>
    <n v="22325"/>
    <n v="4388.57"/>
    <x v="0"/>
    <x v="4"/>
    <x v="6"/>
  </r>
  <r>
    <s v="ORD0114"/>
    <d v="2025-11-11T00:00:00"/>
    <x v="0"/>
    <s v="Office Supplies"/>
    <x v="0"/>
    <n v="10"/>
    <n v="4416"/>
    <n v="44160"/>
    <n v="4283.01"/>
    <x v="0"/>
    <x v="10"/>
    <x v="3"/>
  </r>
  <r>
    <s v="ORD0115"/>
    <d v="2025-04-10T00:00:00"/>
    <x v="1"/>
    <s v="Electronics"/>
    <x v="7"/>
    <n v="10"/>
    <n v="2269"/>
    <n v="22690"/>
    <n v="3670.28"/>
    <x v="0"/>
    <x v="7"/>
    <x v="2"/>
  </r>
  <r>
    <s v="ORD0116"/>
    <d v="2025-01-29T00:00:00"/>
    <x v="0"/>
    <s v="Office Supplies"/>
    <x v="0"/>
    <n v="7"/>
    <n v="1979"/>
    <n v="13853"/>
    <n v="3418.32"/>
    <x v="0"/>
    <x v="11"/>
    <x v="6"/>
  </r>
  <r>
    <s v="ORD0117"/>
    <d v="2025-03-22T00:00:00"/>
    <x v="1"/>
    <s v="Office Supplies"/>
    <x v="0"/>
    <n v="5"/>
    <n v="4297"/>
    <n v="21485"/>
    <n v="2100.4"/>
    <x v="0"/>
    <x v="1"/>
    <x v="4"/>
  </r>
  <r>
    <s v="ORD0118"/>
    <d v="2025-07-22T00:00:00"/>
    <x v="0"/>
    <s v="Furniture"/>
    <x v="2"/>
    <n v="6"/>
    <n v="3014"/>
    <n v="18084"/>
    <n v="4257.6400000000003"/>
    <x v="0"/>
    <x v="3"/>
    <x v="3"/>
  </r>
  <r>
    <s v="ORD0119"/>
    <d v="2025-02-26T00:00:00"/>
    <x v="1"/>
    <s v="Furniture"/>
    <x v="8"/>
    <n v="7"/>
    <n v="2694"/>
    <n v="18858"/>
    <n v="5244.92"/>
    <x v="0"/>
    <x v="5"/>
    <x v="6"/>
  </r>
  <r>
    <s v="ORD0120"/>
    <d v="2025-06-06T00:00:00"/>
    <x v="1"/>
    <s v="Furniture"/>
    <x v="1"/>
    <n v="6"/>
    <n v="4346"/>
    <n v="26076"/>
    <n v="6562.57"/>
    <x v="0"/>
    <x v="6"/>
    <x v="0"/>
  </r>
  <r>
    <s v="ORD0121"/>
    <d v="2025-10-30T00:00:00"/>
    <x v="0"/>
    <s v="Office Supplies"/>
    <x v="0"/>
    <n v="6"/>
    <n v="639"/>
    <n v="3834"/>
    <n v="522.75"/>
    <x v="0"/>
    <x v="4"/>
    <x v="2"/>
  </r>
  <r>
    <s v="ORD0122"/>
    <d v="2025-09-06T00:00:00"/>
    <x v="3"/>
    <s v="Office Supplies"/>
    <x v="6"/>
    <n v="9"/>
    <n v="2221"/>
    <n v="19989"/>
    <n v="2157.42"/>
    <x v="0"/>
    <x v="12"/>
    <x v="4"/>
  </r>
  <r>
    <s v="ORD0123"/>
    <d v="2025-08-08T00:00:00"/>
    <x v="0"/>
    <s v="Electronics"/>
    <x v="7"/>
    <n v="5"/>
    <n v="2591"/>
    <n v="12955"/>
    <n v="3835.59"/>
    <x v="0"/>
    <x v="9"/>
    <x v="0"/>
  </r>
  <r>
    <s v="ORD0124"/>
    <d v="2025-10-29T00:00:00"/>
    <x v="0"/>
    <s v="Office Supplies"/>
    <x v="0"/>
    <n v="5"/>
    <n v="1184"/>
    <n v="5920"/>
    <n v="1305.8499999999999"/>
    <x v="0"/>
    <x v="4"/>
    <x v="6"/>
  </r>
  <r>
    <s v="ORD0125"/>
    <d v="2025-03-15T00:00:00"/>
    <x v="0"/>
    <s v="Electronics"/>
    <x v="3"/>
    <n v="9"/>
    <n v="2755"/>
    <n v="24795"/>
    <n v="6029.04"/>
    <x v="0"/>
    <x v="1"/>
    <x v="4"/>
  </r>
  <r>
    <s v="ORD0126"/>
    <d v="2025-04-27T00:00:00"/>
    <x v="2"/>
    <s v="Office Supplies"/>
    <x v="5"/>
    <n v="5"/>
    <n v="3234"/>
    <n v="16170"/>
    <n v="4560.1000000000004"/>
    <x v="0"/>
    <x v="7"/>
    <x v="5"/>
  </r>
  <r>
    <s v="ORD0127"/>
    <d v="2025-01-01T00:00:00"/>
    <x v="3"/>
    <s v="Electronics"/>
    <x v="4"/>
    <n v="4"/>
    <n v="876"/>
    <n v="3504"/>
    <n v="454.29"/>
    <x v="0"/>
    <x v="11"/>
    <x v="6"/>
  </r>
  <r>
    <s v="ORD0128"/>
    <d v="2025-10-11T00:00:00"/>
    <x v="1"/>
    <s v="Office Supplies"/>
    <x v="6"/>
    <n v="9"/>
    <n v="2670"/>
    <n v="24030"/>
    <n v="4684.58"/>
    <x v="0"/>
    <x v="4"/>
    <x v="4"/>
  </r>
  <r>
    <s v="ORD0129"/>
    <d v="2025-08-03T00:00:00"/>
    <x v="3"/>
    <s v="Office Supplies"/>
    <x v="6"/>
    <n v="1"/>
    <n v="3795"/>
    <n v="3795"/>
    <n v="746.18"/>
    <x v="0"/>
    <x v="9"/>
    <x v="5"/>
  </r>
  <r>
    <s v="ORD0130"/>
    <d v="2025-02-13T00:00:00"/>
    <x v="2"/>
    <s v="Office Supplies"/>
    <x v="5"/>
    <n v="6"/>
    <n v="2321"/>
    <n v="13926"/>
    <n v="2714.76"/>
    <x v="0"/>
    <x v="5"/>
    <x v="2"/>
  </r>
  <r>
    <s v="ORD0131"/>
    <d v="2025-07-04T00:00:00"/>
    <x v="2"/>
    <s v="Furniture"/>
    <x v="1"/>
    <n v="3"/>
    <n v="3640"/>
    <n v="10920"/>
    <n v="1736.38"/>
    <x v="0"/>
    <x v="3"/>
    <x v="0"/>
  </r>
  <r>
    <s v="ORD0132"/>
    <d v="2025-02-19T00:00:00"/>
    <x v="2"/>
    <s v="Office Supplies"/>
    <x v="6"/>
    <n v="9"/>
    <n v="4361"/>
    <n v="39249"/>
    <n v="7450.67"/>
    <x v="0"/>
    <x v="5"/>
    <x v="6"/>
  </r>
  <r>
    <s v="ORD0133"/>
    <d v="2025-07-30T00:00:00"/>
    <x v="3"/>
    <s v="Office Supplies"/>
    <x v="0"/>
    <n v="10"/>
    <n v="4113"/>
    <n v="41130"/>
    <n v="5773.33"/>
    <x v="0"/>
    <x v="3"/>
    <x v="6"/>
  </r>
  <r>
    <s v="ORD0134"/>
    <d v="2025-05-07T00:00:00"/>
    <x v="1"/>
    <s v="Electronics"/>
    <x v="3"/>
    <n v="2"/>
    <n v="1900"/>
    <n v="3800"/>
    <n v="1079.42"/>
    <x v="0"/>
    <x v="2"/>
    <x v="6"/>
  </r>
  <r>
    <s v="ORD0135"/>
    <d v="2025-10-19T00:00:00"/>
    <x v="2"/>
    <s v="Electronics"/>
    <x v="9"/>
    <n v="7"/>
    <n v="685"/>
    <n v="4795"/>
    <n v="755.22"/>
    <x v="0"/>
    <x v="4"/>
    <x v="5"/>
  </r>
  <r>
    <s v="ORD0136"/>
    <d v="2025-07-02T00:00:00"/>
    <x v="1"/>
    <s v="Furniture"/>
    <x v="2"/>
    <n v="9"/>
    <n v="4711"/>
    <n v="42399"/>
    <n v="5336.99"/>
    <x v="0"/>
    <x v="3"/>
    <x v="6"/>
  </r>
  <r>
    <s v="ORD0137"/>
    <d v="2025-08-17T00:00:00"/>
    <x v="0"/>
    <s v="Electronics"/>
    <x v="7"/>
    <n v="6"/>
    <n v="4720"/>
    <n v="28320"/>
    <n v="2689.13"/>
    <x v="0"/>
    <x v="9"/>
    <x v="5"/>
  </r>
  <r>
    <s v="ORD0138"/>
    <d v="2025-08-07T00:00:00"/>
    <x v="3"/>
    <s v="Electronics"/>
    <x v="9"/>
    <n v="10"/>
    <n v="3289"/>
    <n v="32890"/>
    <n v="7119.6"/>
    <x v="0"/>
    <x v="9"/>
    <x v="2"/>
  </r>
  <r>
    <s v="ORD0139"/>
    <d v="2025-07-31T00:00:00"/>
    <x v="3"/>
    <s v="Office Supplies"/>
    <x v="5"/>
    <n v="6"/>
    <n v="217"/>
    <n v="1302"/>
    <n v="355.3"/>
    <x v="0"/>
    <x v="3"/>
    <x v="2"/>
  </r>
  <r>
    <s v="ORD0140"/>
    <d v="2025-09-13T00:00:00"/>
    <x v="1"/>
    <s v="Furniture"/>
    <x v="8"/>
    <n v="3"/>
    <n v="4846"/>
    <n v="14538"/>
    <n v="2206.8200000000002"/>
    <x v="0"/>
    <x v="12"/>
    <x v="4"/>
  </r>
  <r>
    <s v="ORD0141"/>
    <d v="2025-04-25T00:00:00"/>
    <x v="0"/>
    <s v="Office Supplies"/>
    <x v="6"/>
    <n v="3"/>
    <n v="1333"/>
    <n v="3999"/>
    <n v="1009.93"/>
    <x v="0"/>
    <x v="7"/>
    <x v="0"/>
  </r>
  <r>
    <s v="ORD0142"/>
    <d v="2025-05-23T00:00:00"/>
    <x v="1"/>
    <s v="Electronics"/>
    <x v="7"/>
    <n v="5"/>
    <n v="1733"/>
    <n v="8665"/>
    <n v="777.53"/>
    <x v="0"/>
    <x v="2"/>
    <x v="0"/>
  </r>
  <r>
    <s v="ORD0143"/>
    <d v="2025-02-12T00:00:00"/>
    <x v="1"/>
    <s v="Office Supplies"/>
    <x v="5"/>
    <n v="3"/>
    <n v="4977"/>
    <n v="14931"/>
    <n v="2151.06"/>
    <x v="0"/>
    <x v="5"/>
    <x v="6"/>
  </r>
  <r>
    <s v="ORD0144"/>
    <d v="2025-10-14T00:00:00"/>
    <x v="2"/>
    <s v="Office Supplies"/>
    <x v="0"/>
    <n v="1"/>
    <n v="2485"/>
    <n v="2485"/>
    <n v="578.99"/>
    <x v="0"/>
    <x v="4"/>
    <x v="3"/>
  </r>
  <r>
    <s v="ORD0145"/>
    <d v="2025-10-13T00:00:00"/>
    <x v="1"/>
    <s v="Electronics"/>
    <x v="4"/>
    <n v="3"/>
    <n v="3211"/>
    <n v="9633"/>
    <n v="2601.9"/>
    <x v="0"/>
    <x v="4"/>
    <x v="1"/>
  </r>
  <r>
    <s v="ORD0146"/>
    <d v="2025-08-22T00:00:00"/>
    <x v="0"/>
    <s v="Electronics"/>
    <x v="9"/>
    <n v="5"/>
    <n v="3886"/>
    <n v="19430"/>
    <n v="3690.27"/>
    <x v="0"/>
    <x v="9"/>
    <x v="0"/>
  </r>
  <r>
    <s v="ORD0147"/>
    <d v="2025-04-19T00:00:00"/>
    <x v="3"/>
    <s v="Office Supplies"/>
    <x v="0"/>
    <n v="2"/>
    <n v="4866"/>
    <n v="9732"/>
    <n v="2749.2"/>
    <x v="0"/>
    <x v="7"/>
    <x v="4"/>
  </r>
  <r>
    <s v="ORD0148"/>
    <d v="2025-08-10T00:00:00"/>
    <x v="2"/>
    <s v="Electronics"/>
    <x v="3"/>
    <n v="3"/>
    <n v="3465"/>
    <n v="10395"/>
    <n v="2948.21"/>
    <x v="0"/>
    <x v="9"/>
    <x v="5"/>
  </r>
  <r>
    <s v="ORD0149"/>
    <d v="2025-04-13T00:00:00"/>
    <x v="1"/>
    <s v="Furniture"/>
    <x v="1"/>
    <n v="6"/>
    <n v="2607"/>
    <n v="15642"/>
    <n v="1695.01"/>
    <x v="0"/>
    <x v="7"/>
    <x v="5"/>
  </r>
  <r>
    <s v="ORD0150"/>
    <d v="2025-12-21T00:00:00"/>
    <x v="0"/>
    <s v="Office Supplies"/>
    <x v="0"/>
    <n v="6"/>
    <n v="3269"/>
    <n v="19614"/>
    <n v="3400.42"/>
    <x v="0"/>
    <x v="8"/>
    <x v="5"/>
  </r>
  <r>
    <s v="ORD0151"/>
    <d v="2025-01-04T00:00:00"/>
    <x v="3"/>
    <s v="Electronics"/>
    <x v="3"/>
    <n v="8"/>
    <n v="2250"/>
    <n v="18000"/>
    <n v="2779.17"/>
    <x v="0"/>
    <x v="11"/>
    <x v="4"/>
  </r>
  <r>
    <s v="ORD0152"/>
    <d v="2025-09-30T00:00:00"/>
    <x v="1"/>
    <s v="Office Supplies"/>
    <x v="0"/>
    <n v="3"/>
    <n v="4330"/>
    <n v="12990"/>
    <n v="3767.69"/>
    <x v="0"/>
    <x v="12"/>
    <x v="3"/>
  </r>
  <r>
    <s v="ORD0153"/>
    <d v="2025-01-28T00:00:00"/>
    <x v="0"/>
    <s v="Furniture"/>
    <x v="8"/>
    <n v="5"/>
    <n v="4632"/>
    <n v="23160"/>
    <n v="5996.94"/>
    <x v="0"/>
    <x v="11"/>
    <x v="3"/>
  </r>
  <r>
    <s v="ORD0154"/>
    <d v="2025-02-14T00:00:00"/>
    <x v="1"/>
    <s v="Office Supplies"/>
    <x v="6"/>
    <n v="1"/>
    <n v="2704"/>
    <n v="2704"/>
    <n v="667.29"/>
    <x v="0"/>
    <x v="5"/>
    <x v="0"/>
  </r>
  <r>
    <s v="ORD0155"/>
    <d v="2025-03-14T00:00:00"/>
    <x v="1"/>
    <s v="Office Supplies"/>
    <x v="5"/>
    <n v="2"/>
    <n v="4978"/>
    <n v="9956"/>
    <n v="1662.02"/>
    <x v="0"/>
    <x v="1"/>
    <x v="0"/>
  </r>
  <r>
    <s v="ORD0156"/>
    <d v="2025-10-03T00:00:00"/>
    <x v="0"/>
    <s v="Furniture"/>
    <x v="1"/>
    <n v="7"/>
    <n v="1252"/>
    <n v="8764"/>
    <n v="2315.15"/>
    <x v="0"/>
    <x v="4"/>
    <x v="0"/>
  </r>
  <r>
    <s v="ORD0157"/>
    <d v="2025-07-06T00:00:00"/>
    <x v="1"/>
    <s v="Office Supplies"/>
    <x v="5"/>
    <n v="5"/>
    <n v="815"/>
    <n v="4075"/>
    <n v="574.04"/>
    <x v="0"/>
    <x v="3"/>
    <x v="5"/>
  </r>
  <r>
    <s v="ORD0158"/>
    <d v="2025-06-22T00:00:00"/>
    <x v="1"/>
    <s v="Furniture"/>
    <x v="2"/>
    <n v="8"/>
    <n v="1596"/>
    <n v="12768"/>
    <n v="1682.03"/>
    <x v="0"/>
    <x v="6"/>
    <x v="5"/>
  </r>
  <r>
    <s v="ORD0159"/>
    <d v="2025-11-11T00:00:00"/>
    <x v="3"/>
    <s v="Office Supplies"/>
    <x v="0"/>
    <n v="8"/>
    <n v="1804"/>
    <n v="14432"/>
    <n v="3271.34"/>
    <x v="0"/>
    <x v="10"/>
    <x v="3"/>
  </r>
  <r>
    <s v="ORD0160"/>
    <d v="2025-09-13T00:00:00"/>
    <x v="3"/>
    <s v="Office Supplies"/>
    <x v="6"/>
    <n v="6"/>
    <n v="2320"/>
    <n v="13920"/>
    <n v="1991.2"/>
    <x v="0"/>
    <x v="12"/>
    <x v="4"/>
  </r>
  <r>
    <s v="ORD0161"/>
    <d v="2025-04-11T00:00:00"/>
    <x v="0"/>
    <s v="Furniture"/>
    <x v="1"/>
    <n v="9"/>
    <n v="2587"/>
    <n v="23283"/>
    <n v="6124.39"/>
    <x v="0"/>
    <x v="7"/>
    <x v="0"/>
  </r>
  <r>
    <s v="ORD0162"/>
    <d v="2025-07-10T00:00:00"/>
    <x v="0"/>
    <s v="Office Supplies"/>
    <x v="6"/>
    <n v="6"/>
    <n v="2965"/>
    <n v="17790"/>
    <n v="2402.9899999999998"/>
    <x v="0"/>
    <x v="3"/>
    <x v="2"/>
  </r>
  <r>
    <s v="ORD0163"/>
    <d v="2025-11-09T00:00:00"/>
    <x v="3"/>
    <s v="Electronics"/>
    <x v="3"/>
    <n v="10"/>
    <n v="886"/>
    <n v="8860"/>
    <n v="2295.38"/>
    <x v="0"/>
    <x v="10"/>
    <x v="5"/>
  </r>
  <r>
    <s v="ORD0164"/>
    <d v="2025-02-23T00:00:00"/>
    <x v="0"/>
    <s v="Furniture"/>
    <x v="8"/>
    <n v="10"/>
    <n v="1284"/>
    <n v="12840"/>
    <n v="2187.8000000000002"/>
    <x v="0"/>
    <x v="5"/>
    <x v="5"/>
  </r>
  <r>
    <s v="ORD0165"/>
    <d v="2025-05-04T00:00:00"/>
    <x v="0"/>
    <s v="Electronics"/>
    <x v="9"/>
    <n v="3"/>
    <n v="1972"/>
    <n v="5916"/>
    <n v="905.31"/>
    <x v="0"/>
    <x v="2"/>
    <x v="5"/>
  </r>
  <r>
    <s v="ORD0166"/>
    <d v="2025-03-01T00:00:00"/>
    <x v="2"/>
    <s v="Electronics"/>
    <x v="3"/>
    <n v="3"/>
    <n v="201"/>
    <n v="603"/>
    <n v="146.01"/>
    <x v="0"/>
    <x v="1"/>
    <x v="4"/>
  </r>
  <r>
    <s v="ORD0167"/>
    <d v="2025-01-15T00:00:00"/>
    <x v="3"/>
    <s v="Furniture"/>
    <x v="1"/>
    <n v="5"/>
    <n v="1450"/>
    <n v="7250"/>
    <n v="933.29"/>
    <x v="0"/>
    <x v="11"/>
    <x v="6"/>
  </r>
  <r>
    <s v="ORD0168"/>
    <d v="2025-08-14T00:00:00"/>
    <x v="1"/>
    <s v="Furniture"/>
    <x v="8"/>
    <n v="3"/>
    <n v="4563"/>
    <n v="13689"/>
    <n v="3669.4"/>
    <x v="0"/>
    <x v="9"/>
    <x v="2"/>
  </r>
  <r>
    <s v="ORD0169"/>
    <d v="2025-10-03T00:00:00"/>
    <x v="1"/>
    <s v="Office Supplies"/>
    <x v="6"/>
    <n v="9"/>
    <n v="3132"/>
    <n v="28188"/>
    <n v="6341.06"/>
    <x v="0"/>
    <x v="4"/>
    <x v="0"/>
  </r>
  <r>
    <s v="ORD0170"/>
    <d v="2025-09-11T00:00:00"/>
    <x v="1"/>
    <s v="Office Supplies"/>
    <x v="0"/>
    <n v="9"/>
    <n v="3443"/>
    <n v="30987"/>
    <n v="5389.47"/>
    <x v="0"/>
    <x v="12"/>
    <x v="2"/>
  </r>
  <r>
    <s v="ORD0171"/>
    <d v="2025-12-01T00:00:00"/>
    <x v="1"/>
    <s v="Electronics"/>
    <x v="9"/>
    <n v="1"/>
    <n v="2435"/>
    <n v="2435"/>
    <n v="383.45"/>
    <x v="0"/>
    <x v="8"/>
    <x v="1"/>
  </r>
  <r>
    <s v="ORD0172"/>
    <d v="2025-02-08T00:00:00"/>
    <x v="1"/>
    <s v="Electronics"/>
    <x v="9"/>
    <n v="4"/>
    <n v="3206"/>
    <n v="12824"/>
    <n v="3626.54"/>
    <x v="0"/>
    <x v="5"/>
    <x v="4"/>
  </r>
  <r>
    <s v="ORD0173"/>
    <d v="2025-10-23T00:00:00"/>
    <x v="3"/>
    <s v="Office Supplies"/>
    <x v="6"/>
    <n v="8"/>
    <n v="2019"/>
    <n v="16152"/>
    <n v="3272.1"/>
    <x v="0"/>
    <x v="4"/>
    <x v="2"/>
  </r>
  <r>
    <s v="ORD0174"/>
    <d v="2025-03-19T00:00:00"/>
    <x v="0"/>
    <s v="Electronics"/>
    <x v="3"/>
    <n v="2"/>
    <n v="4468"/>
    <n v="8936"/>
    <n v="2406.4899999999998"/>
    <x v="0"/>
    <x v="1"/>
    <x v="6"/>
  </r>
  <r>
    <s v="ORD0175"/>
    <d v="2025-10-17T00:00:00"/>
    <x v="1"/>
    <s v="Electronics"/>
    <x v="4"/>
    <n v="10"/>
    <n v="1808"/>
    <n v="18080"/>
    <n v="4468.0600000000004"/>
    <x v="0"/>
    <x v="4"/>
    <x v="0"/>
  </r>
  <r>
    <s v="ORD0176"/>
    <d v="2025-10-04T00:00:00"/>
    <x v="1"/>
    <s v="Electronics"/>
    <x v="3"/>
    <n v="7"/>
    <n v="1222"/>
    <n v="8554"/>
    <n v="936.34"/>
    <x v="0"/>
    <x v="4"/>
    <x v="4"/>
  </r>
  <r>
    <s v="ORD0177"/>
    <d v="2025-05-18T00:00:00"/>
    <x v="2"/>
    <s v="Office Supplies"/>
    <x v="6"/>
    <n v="7"/>
    <n v="4462"/>
    <n v="31234"/>
    <n v="8495.4"/>
    <x v="0"/>
    <x v="2"/>
    <x v="5"/>
  </r>
  <r>
    <s v="ORD0178"/>
    <d v="2025-12-07T00:00:00"/>
    <x v="3"/>
    <s v="Office Supplies"/>
    <x v="5"/>
    <n v="1"/>
    <n v="2653"/>
    <n v="2653"/>
    <n v="417.04"/>
    <x v="0"/>
    <x v="8"/>
    <x v="5"/>
  </r>
  <r>
    <s v="ORD0179"/>
    <d v="2025-10-23T00:00:00"/>
    <x v="0"/>
    <s v="Electronics"/>
    <x v="9"/>
    <n v="1"/>
    <n v="2955"/>
    <n v="2955"/>
    <n v="721.69"/>
    <x v="0"/>
    <x v="4"/>
    <x v="2"/>
  </r>
  <r>
    <s v="ORD0180"/>
    <d v="2025-04-14T00:00:00"/>
    <x v="2"/>
    <s v="Electronics"/>
    <x v="4"/>
    <n v="3"/>
    <n v="2804"/>
    <n v="8412"/>
    <n v="1344.24"/>
    <x v="0"/>
    <x v="7"/>
    <x v="1"/>
  </r>
  <r>
    <s v="ORD0181"/>
    <d v="2025-05-10T00:00:00"/>
    <x v="2"/>
    <s v="Electronics"/>
    <x v="3"/>
    <n v="6"/>
    <n v="3406"/>
    <n v="20436"/>
    <n v="5491.35"/>
    <x v="0"/>
    <x v="2"/>
    <x v="4"/>
  </r>
  <r>
    <s v="ORD0182"/>
    <d v="2025-03-17T00:00:00"/>
    <x v="0"/>
    <s v="Furniture"/>
    <x v="1"/>
    <n v="2"/>
    <n v="3699"/>
    <n v="7398"/>
    <n v="2059.9"/>
    <x v="0"/>
    <x v="1"/>
    <x v="1"/>
  </r>
  <r>
    <s v="ORD0183"/>
    <d v="2025-04-25T00:00:00"/>
    <x v="1"/>
    <s v="Electronics"/>
    <x v="3"/>
    <n v="2"/>
    <n v="220"/>
    <n v="440"/>
    <n v="75.14"/>
    <x v="0"/>
    <x v="7"/>
    <x v="0"/>
  </r>
  <r>
    <s v="ORD0184"/>
    <d v="2025-06-23T00:00:00"/>
    <x v="3"/>
    <s v="Furniture"/>
    <x v="2"/>
    <n v="10"/>
    <n v="3676"/>
    <n v="36760"/>
    <n v="9046.01"/>
    <x v="0"/>
    <x v="6"/>
    <x v="1"/>
  </r>
  <r>
    <s v="ORD0185"/>
    <d v="2025-05-28T00:00:00"/>
    <x v="0"/>
    <s v="Electronics"/>
    <x v="4"/>
    <n v="6"/>
    <n v="2131"/>
    <n v="12786"/>
    <n v="2837.99"/>
    <x v="0"/>
    <x v="2"/>
    <x v="6"/>
  </r>
  <r>
    <s v="ORD0186"/>
    <d v="2025-06-30T00:00:00"/>
    <x v="1"/>
    <s v="Office Supplies"/>
    <x v="5"/>
    <n v="6"/>
    <n v="2440"/>
    <n v="14640"/>
    <n v="3401.16"/>
    <x v="0"/>
    <x v="6"/>
    <x v="1"/>
  </r>
  <r>
    <s v="ORD0187"/>
    <d v="2025-02-08T00:00:00"/>
    <x v="0"/>
    <s v="Office Supplies"/>
    <x v="6"/>
    <n v="4"/>
    <n v="4062"/>
    <n v="16248"/>
    <n v="3016.48"/>
    <x v="0"/>
    <x v="5"/>
    <x v="4"/>
  </r>
  <r>
    <s v="ORD0188"/>
    <d v="2025-01-17T00:00:00"/>
    <x v="3"/>
    <s v="Office Supplies"/>
    <x v="5"/>
    <n v="4"/>
    <n v="3796"/>
    <n v="15184"/>
    <n v="1590.73"/>
    <x v="0"/>
    <x v="11"/>
    <x v="0"/>
  </r>
  <r>
    <s v="ORD0189"/>
    <d v="2025-01-23T00:00:00"/>
    <x v="3"/>
    <s v="Electronics"/>
    <x v="3"/>
    <n v="4"/>
    <n v="1993"/>
    <n v="7972"/>
    <n v="1797.13"/>
    <x v="0"/>
    <x v="11"/>
    <x v="2"/>
  </r>
  <r>
    <s v="ORD0190"/>
    <d v="2025-03-31T00:00:00"/>
    <x v="0"/>
    <s v="Office Supplies"/>
    <x v="5"/>
    <n v="4"/>
    <n v="4602"/>
    <n v="18408"/>
    <n v="5156.8599999999997"/>
    <x v="0"/>
    <x v="1"/>
    <x v="1"/>
  </r>
  <r>
    <s v="ORD0191"/>
    <d v="2025-08-09T00:00:00"/>
    <x v="3"/>
    <s v="Furniture"/>
    <x v="1"/>
    <n v="7"/>
    <n v="2260"/>
    <n v="15820"/>
    <n v="1372.35"/>
    <x v="0"/>
    <x v="9"/>
    <x v="4"/>
  </r>
  <r>
    <s v="ORD0192"/>
    <d v="2025-10-15T00:00:00"/>
    <x v="0"/>
    <s v="Office Supplies"/>
    <x v="6"/>
    <n v="7"/>
    <n v="4082"/>
    <n v="28574"/>
    <n v="2997.36"/>
    <x v="0"/>
    <x v="4"/>
    <x v="6"/>
  </r>
  <r>
    <s v="ORD0193"/>
    <d v="2025-01-02T00:00:00"/>
    <x v="2"/>
    <s v="Office Supplies"/>
    <x v="6"/>
    <n v="8"/>
    <n v="1951"/>
    <n v="15608"/>
    <n v="2063.39"/>
    <x v="0"/>
    <x v="11"/>
    <x v="2"/>
  </r>
  <r>
    <s v="ORD0194"/>
    <d v="2025-08-22T00:00:00"/>
    <x v="1"/>
    <s v="Electronics"/>
    <x v="4"/>
    <n v="4"/>
    <n v="2019"/>
    <n v="8076"/>
    <n v="2137.71"/>
    <x v="0"/>
    <x v="9"/>
    <x v="0"/>
  </r>
  <r>
    <s v="ORD0195"/>
    <d v="2025-08-08T00:00:00"/>
    <x v="3"/>
    <s v="Furniture"/>
    <x v="8"/>
    <n v="5"/>
    <n v="1402"/>
    <n v="7010"/>
    <n v="1968.62"/>
    <x v="0"/>
    <x v="9"/>
    <x v="0"/>
  </r>
  <r>
    <s v="ORD0196"/>
    <d v="2025-06-15T00:00:00"/>
    <x v="3"/>
    <s v="Office Supplies"/>
    <x v="5"/>
    <n v="8"/>
    <n v="3176"/>
    <n v="25408"/>
    <n v="2224.14"/>
    <x v="0"/>
    <x v="6"/>
    <x v="5"/>
  </r>
  <r>
    <s v="ORD0197"/>
    <d v="2025-11-27T00:00:00"/>
    <x v="3"/>
    <s v="Office Supplies"/>
    <x v="0"/>
    <n v="5"/>
    <n v="272"/>
    <n v="1360"/>
    <n v="222.01"/>
    <x v="0"/>
    <x v="10"/>
    <x v="2"/>
  </r>
  <r>
    <s v="ORD0198"/>
    <d v="2025-12-11T00:00:00"/>
    <x v="1"/>
    <s v="Office Supplies"/>
    <x v="5"/>
    <n v="8"/>
    <n v="4889"/>
    <n v="39112"/>
    <n v="5930.74"/>
    <x v="0"/>
    <x v="8"/>
    <x v="2"/>
  </r>
  <r>
    <s v="ORD0199"/>
    <d v="2025-07-13T00:00:00"/>
    <x v="0"/>
    <s v="Office Supplies"/>
    <x v="5"/>
    <n v="5"/>
    <n v="2618"/>
    <n v="13090"/>
    <n v="1240.25"/>
    <x v="0"/>
    <x v="3"/>
    <x v="5"/>
  </r>
  <r>
    <s v="ORD0200"/>
    <d v="2025-01-16T00:00:00"/>
    <x v="2"/>
    <s v="Furniture"/>
    <x v="8"/>
    <n v="8"/>
    <n v="3943"/>
    <n v="31544"/>
    <n v="6724.58"/>
    <x v="0"/>
    <x v="11"/>
    <x v="2"/>
  </r>
  <r>
    <s v="ORD0201"/>
    <d v="2025-01-31T00:00:00"/>
    <x v="0"/>
    <s v="Electronics"/>
    <x v="9"/>
    <n v="6"/>
    <n v="4556"/>
    <n v="27336"/>
    <n v="4529.68"/>
    <x v="0"/>
    <x v="11"/>
    <x v="0"/>
  </r>
  <r>
    <s v="ORD0202"/>
    <d v="2025-04-13T00:00:00"/>
    <x v="3"/>
    <s v="Furniture"/>
    <x v="2"/>
    <n v="6"/>
    <n v="921"/>
    <n v="5526"/>
    <n v="946.74"/>
    <x v="0"/>
    <x v="7"/>
    <x v="5"/>
  </r>
  <r>
    <s v="ORD0203"/>
    <d v="2025-03-26T00:00:00"/>
    <x v="3"/>
    <s v="Electronics"/>
    <x v="9"/>
    <n v="10"/>
    <n v="1990"/>
    <n v="19900"/>
    <n v="2895.95"/>
    <x v="0"/>
    <x v="1"/>
    <x v="6"/>
  </r>
  <r>
    <s v="ORD0204"/>
    <d v="2025-08-24T00:00:00"/>
    <x v="3"/>
    <s v="Furniture"/>
    <x v="8"/>
    <n v="8"/>
    <n v="4532"/>
    <n v="36256"/>
    <n v="10046.540000000001"/>
    <x v="0"/>
    <x v="9"/>
    <x v="5"/>
  </r>
  <r>
    <s v="ORD0205"/>
    <d v="2025-11-14T00:00:00"/>
    <x v="3"/>
    <s v="Office Supplies"/>
    <x v="5"/>
    <n v="9"/>
    <n v="509"/>
    <n v="4581"/>
    <n v="623.91999999999996"/>
    <x v="0"/>
    <x v="10"/>
    <x v="0"/>
  </r>
  <r>
    <s v="ORD0206"/>
    <d v="2025-04-02T00:00:00"/>
    <x v="1"/>
    <s v="Office Supplies"/>
    <x v="0"/>
    <n v="1"/>
    <n v="166"/>
    <n v="166"/>
    <n v="21.56"/>
    <x v="0"/>
    <x v="7"/>
    <x v="6"/>
  </r>
  <r>
    <s v="ORD0207"/>
    <d v="2025-07-12T00:00:00"/>
    <x v="1"/>
    <s v="Furniture"/>
    <x v="8"/>
    <n v="6"/>
    <n v="335"/>
    <n v="2010"/>
    <n v="391"/>
    <x v="0"/>
    <x v="3"/>
    <x v="4"/>
  </r>
  <r>
    <s v="ORD0208"/>
    <d v="2025-01-27T00:00:00"/>
    <x v="0"/>
    <s v="Office Supplies"/>
    <x v="5"/>
    <n v="7"/>
    <n v="3639"/>
    <n v="25473"/>
    <n v="5121.46"/>
    <x v="0"/>
    <x v="11"/>
    <x v="1"/>
  </r>
  <r>
    <s v="ORD0209"/>
    <d v="2025-09-03T00:00:00"/>
    <x v="3"/>
    <s v="Electronics"/>
    <x v="4"/>
    <n v="4"/>
    <n v="4467"/>
    <n v="17868"/>
    <n v="1998.62"/>
    <x v="0"/>
    <x v="12"/>
    <x v="6"/>
  </r>
  <r>
    <s v="ORD0210"/>
    <d v="2025-04-04T00:00:00"/>
    <x v="1"/>
    <s v="Furniture"/>
    <x v="1"/>
    <n v="7"/>
    <n v="3798"/>
    <n v="26586"/>
    <n v="3648.77"/>
    <x v="0"/>
    <x v="7"/>
    <x v="0"/>
  </r>
  <r>
    <s v="ORD0211"/>
    <d v="2025-10-26T00:00:00"/>
    <x v="2"/>
    <s v="Electronics"/>
    <x v="9"/>
    <n v="5"/>
    <n v="3770"/>
    <n v="18850"/>
    <n v="2068.62"/>
    <x v="0"/>
    <x v="4"/>
    <x v="5"/>
  </r>
  <r>
    <s v="ORD0212"/>
    <d v="2025-08-16T00:00:00"/>
    <x v="1"/>
    <s v="Electronics"/>
    <x v="9"/>
    <n v="10"/>
    <n v="1020"/>
    <n v="10200"/>
    <n v="2097.13"/>
    <x v="0"/>
    <x v="9"/>
    <x v="4"/>
  </r>
  <r>
    <s v="ORD0213"/>
    <d v="2025-06-11T00:00:00"/>
    <x v="2"/>
    <s v="Furniture"/>
    <x v="8"/>
    <n v="8"/>
    <n v="687"/>
    <n v="5496"/>
    <n v="725.79"/>
    <x v="0"/>
    <x v="6"/>
    <x v="6"/>
  </r>
  <r>
    <s v="ORD0214"/>
    <d v="2025-12-09T00:00:00"/>
    <x v="2"/>
    <s v="Office Supplies"/>
    <x v="0"/>
    <n v="7"/>
    <n v="4201"/>
    <n v="29407"/>
    <n v="7257.9"/>
    <x v="0"/>
    <x v="8"/>
    <x v="3"/>
  </r>
  <r>
    <s v="ORD0215"/>
    <d v="2025-04-01T00:00:00"/>
    <x v="0"/>
    <s v="Electronics"/>
    <x v="9"/>
    <n v="8"/>
    <n v="461"/>
    <n v="3688"/>
    <n v="300.79000000000002"/>
    <x v="0"/>
    <x v="7"/>
    <x v="3"/>
  </r>
  <r>
    <s v="ORD0216"/>
    <d v="2025-09-09T00:00:00"/>
    <x v="1"/>
    <s v="Furniture"/>
    <x v="1"/>
    <n v="1"/>
    <n v="4212"/>
    <n v="4212"/>
    <n v="1122.68"/>
    <x v="0"/>
    <x v="12"/>
    <x v="3"/>
  </r>
  <r>
    <s v="ORD0217"/>
    <d v="2025-11-05T00:00:00"/>
    <x v="0"/>
    <s v="Electronics"/>
    <x v="7"/>
    <n v="9"/>
    <n v="4145"/>
    <n v="37305"/>
    <n v="5943.43"/>
    <x v="0"/>
    <x v="10"/>
    <x v="6"/>
  </r>
  <r>
    <s v="ORD0218"/>
    <d v="2025-10-02T00:00:00"/>
    <x v="2"/>
    <s v="Office Supplies"/>
    <x v="5"/>
    <n v="7"/>
    <n v="921"/>
    <n v="6447"/>
    <n v="733.08"/>
    <x v="0"/>
    <x v="4"/>
    <x v="2"/>
  </r>
  <r>
    <s v="ORD0219"/>
    <d v="2025-04-22T00:00:00"/>
    <x v="3"/>
    <s v="Office Supplies"/>
    <x v="5"/>
    <n v="7"/>
    <n v="2887"/>
    <n v="20209"/>
    <n v="4200"/>
    <x v="0"/>
    <x v="7"/>
    <x v="3"/>
  </r>
  <r>
    <s v="ORD0220"/>
    <d v="2025-11-20T00:00:00"/>
    <x v="1"/>
    <s v="Electronics"/>
    <x v="9"/>
    <n v="2"/>
    <n v="4236"/>
    <n v="8472"/>
    <n v="2377.91"/>
    <x v="0"/>
    <x v="10"/>
    <x v="2"/>
  </r>
  <r>
    <s v="ORD0221"/>
    <d v="2025-06-29T00:00:00"/>
    <x v="3"/>
    <s v="Furniture"/>
    <x v="2"/>
    <n v="1"/>
    <n v="4078"/>
    <n v="4078"/>
    <n v="979.8"/>
    <x v="0"/>
    <x v="6"/>
    <x v="5"/>
  </r>
  <r>
    <s v="ORD0222"/>
    <d v="2025-04-17T00:00:00"/>
    <x v="3"/>
    <s v="Electronics"/>
    <x v="9"/>
    <n v="4"/>
    <n v="820"/>
    <n v="3280"/>
    <n v="934.54"/>
    <x v="0"/>
    <x v="7"/>
    <x v="2"/>
  </r>
  <r>
    <s v="ORD0223"/>
    <d v="2025-04-01T00:00:00"/>
    <x v="1"/>
    <s v="Electronics"/>
    <x v="7"/>
    <n v="5"/>
    <n v="4917"/>
    <n v="24585"/>
    <n v="5818.4"/>
    <x v="0"/>
    <x v="7"/>
    <x v="3"/>
  </r>
  <r>
    <s v="ORD0224"/>
    <d v="2025-11-22T00:00:00"/>
    <x v="0"/>
    <s v="Furniture"/>
    <x v="8"/>
    <n v="6"/>
    <n v="4851"/>
    <n v="29106"/>
    <n v="4542.84"/>
    <x v="0"/>
    <x v="10"/>
    <x v="4"/>
  </r>
  <r>
    <s v="ORD0225"/>
    <d v="2025-12-19T00:00:00"/>
    <x v="3"/>
    <s v="Furniture"/>
    <x v="1"/>
    <n v="3"/>
    <n v="3668"/>
    <n v="11004"/>
    <n v="957.98"/>
    <x v="0"/>
    <x v="8"/>
    <x v="0"/>
  </r>
  <r>
    <s v="ORD0226"/>
    <d v="2025-02-17T00:00:00"/>
    <x v="2"/>
    <s v="Furniture"/>
    <x v="8"/>
    <n v="4"/>
    <n v="4432"/>
    <n v="17728"/>
    <n v="3495.19"/>
    <x v="0"/>
    <x v="5"/>
    <x v="1"/>
  </r>
  <r>
    <s v="ORD0227"/>
    <d v="2025-05-03T00:00:00"/>
    <x v="2"/>
    <s v="Office Supplies"/>
    <x v="6"/>
    <n v="10"/>
    <n v="4038"/>
    <n v="40380"/>
    <n v="6304.87"/>
    <x v="0"/>
    <x v="2"/>
    <x v="4"/>
  </r>
  <r>
    <s v="ORD0228"/>
    <d v="2025-09-25T00:00:00"/>
    <x v="1"/>
    <s v="Furniture"/>
    <x v="1"/>
    <n v="10"/>
    <n v="4608"/>
    <n v="46080"/>
    <n v="9525.82"/>
    <x v="0"/>
    <x v="12"/>
    <x v="2"/>
  </r>
  <r>
    <s v="ORD0229"/>
    <d v="2025-06-13T00:00:00"/>
    <x v="1"/>
    <s v="Office Supplies"/>
    <x v="6"/>
    <n v="6"/>
    <n v="3460"/>
    <n v="20760"/>
    <n v="3904.66"/>
    <x v="0"/>
    <x v="6"/>
    <x v="0"/>
  </r>
  <r>
    <s v="ORD0230"/>
    <d v="2025-04-01T00:00:00"/>
    <x v="0"/>
    <s v="Office Supplies"/>
    <x v="0"/>
    <n v="6"/>
    <n v="4798"/>
    <n v="28788"/>
    <n v="6907.1"/>
    <x v="0"/>
    <x v="7"/>
    <x v="3"/>
  </r>
  <r>
    <s v="ORD0231"/>
    <d v="2025-11-01T00:00:00"/>
    <x v="1"/>
    <s v="Office Supplies"/>
    <x v="6"/>
    <n v="2"/>
    <n v="2265"/>
    <n v="4530"/>
    <n v="534.48"/>
    <x v="0"/>
    <x v="10"/>
    <x v="4"/>
  </r>
  <r>
    <s v="ORD0232"/>
    <d v="2025-11-03T00:00:00"/>
    <x v="1"/>
    <s v="Office Supplies"/>
    <x v="0"/>
    <n v="6"/>
    <n v="2380"/>
    <n v="14280"/>
    <n v="1613.02"/>
    <x v="0"/>
    <x v="10"/>
    <x v="1"/>
  </r>
  <r>
    <s v="ORD0233"/>
    <d v="2025-02-11T00:00:00"/>
    <x v="0"/>
    <s v="Furniture"/>
    <x v="8"/>
    <n v="10"/>
    <n v="1782"/>
    <n v="17820"/>
    <n v="4964.6899999999996"/>
    <x v="0"/>
    <x v="5"/>
    <x v="3"/>
  </r>
  <r>
    <s v="ORD0234"/>
    <d v="2025-12-05T00:00:00"/>
    <x v="2"/>
    <s v="Electronics"/>
    <x v="7"/>
    <n v="10"/>
    <n v="799"/>
    <n v="7990"/>
    <n v="1839.56"/>
    <x v="0"/>
    <x v="8"/>
    <x v="0"/>
  </r>
  <r>
    <s v="ORD0235"/>
    <d v="2025-08-10T00:00:00"/>
    <x v="0"/>
    <s v="Electronics"/>
    <x v="7"/>
    <n v="3"/>
    <n v="1752"/>
    <n v="5256"/>
    <n v="707.4"/>
    <x v="0"/>
    <x v="9"/>
    <x v="5"/>
  </r>
  <r>
    <s v="ORD0236"/>
    <d v="2025-03-24T00:00:00"/>
    <x v="3"/>
    <s v="Furniture"/>
    <x v="2"/>
    <n v="3"/>
    <n v="4272"/>
    <n v="12816"/>
    <n v="3038.27"/>
    <x v="0"/>
    <x v="1"/>
    <x v="1"/>
  </r>
  <r>
    <s v="ORD0237"/>
    <d v="2025-04-20T00:00:00"/>
    <x v="1"/>
    <s v="Office Supplies"/>
    <x v="6"/>
    <n v="5"/>
    <n v="2483"/>
    <n v="12415"/>
    <n v="1439.8"/>
    <x v="0"/>
    <x v="7"/>
    <x v="5"/>
  </r>
  <r>
    <s v="ORD0238"/>
    <d v="2025-01-11T00:00:00"/>
    <x v="1"/>
    <s v="Furniture"/>
    <x v="8"/>
    <n v="2"/>
    <n v="3004"/>
    <n v="6008"/>
    <n v="1662.82"/>
    <x v="0"/>
    <x v="11"/>
    <x v="4"/>
  </r>
  <r>
    <s v="ORD0239"/>
    <d v="2025-07-29T00:00:00"/>
    <x v="2"/>
    <s v="Furniture"/>
    <x v="1"/>
    <n v="9"/>
    <n v="1460"/>
    <n v="13140"/>
    <n v="2245.7800000000002"/>
    <x v="0"/>
    <x v="3"/>
    <x v="3"/>
  </r>
  <r>
    <s v="ORD0240"/>
    <d v="2025-11-23T00:00:00"/>
    <x v="3"/>
    <s v="Office Supplies"/>
    <x v="6"/>
    <n v="1"/>
    <n v="2014"/>
    <n v="2014"/>
    <n v="201.97"/>
    <x v="0"/>
    <x v="10"/>
    <x v="5"/>
  </r>
  <r>
    <s v="ORD0241"/>
    <d v="2025-08-30T00:00:00"/>
    <x v="0"/>
    <s v="Office Supplies"/>
    <x v="5"/>
    <n v="2"/>
    <n v="3563"/>
    <n v="7126"/>
    <n v="924.47"/>
    <x v="0"/>
    <x v="9"/>
    <x v="4"/>
  </r>
  <r>
    <s v="ORD0242"/>
    <d v="2025-05-24T00:00:00"/>
    <x v="1"/>
    <s v="Furniture"/>
    <x v="1"/>
    <n v="2"/>
    <n v="1164"/>
    <n v="2328"/>
    <n v="513.02"/>
    <x v="0"/>
    <x v="2"/>
    <x v="4"/>
  </r>
  <r>
    <s v="ORD0243"/>
    <d v="2025-08-12T00:00:00"/>
    <x v="0"/>
    <s v="Furniture"/>
    <x v="2"/>
    <n v="10"/>
    <n v="571"/>
    <n v="5710"/>
    <n v="832.84"/>
    <x v="0"/>
    <x v="9"/>
    <x v="3"/>
  </r>
  <r>
    <s v="ORD0244"/>
    <d v="2025-07-01T00:00:00"/>
    <x v="0"/>
    <s v="Furniture"/>
    <x v="8"/>
    <n v="1"/>
    <n v="1462"/>
    <n v="1462"/>
    <n v="211.67"/>
    <x v="0"/>
    <x v="3"/>
    <x v="3"/>
  </r>
  <r>
    <s v="ORD0245"/>
    <d v="2025-05-10T00:00:00"/>
    <x v="1"/>
    <s v="Office Supplies"/>
    <x v="5"/>
    <n v="4"/>
    <n v="1066"/>
    <n v="4264"/>
    <n v="1200.07"/>
    <x v="0"/>
    <x v="2"/>
    <x v="4"/>
  </r>
  <r>
    <s v="ORD0246"/>
    <d v="2025-02-22T00:00:00"/>
    <x v="0"/>
    <s v="Office Supplies"/>
    <x v="6"/>
    <n v="1"/>
    <n v="1683"/>
    <n v="1683"/>
    <n v="235.59"/>
    <x v="0"/>
    <x v="5"/>
    <x v="4"/>
  </r>
  <r>
    <s v="ORD0247"/>
    <d v="2025-12-15T00:00:00"/>
    <x v="3"/>
    <s v="Office Supplies"/>
    <x v="6"/>
    <n v="5"/>
    <n v="3374"/>
    <n v="16870"/>
    <n v="1489.25"/>
    <x v="0"/>
    <x v="8"/>
    <x v="1"/>
  </r>
  <r>
    <s v="ORD0248"/>
    <d v="2025-05-15T00:00:00"/>
    <x v="2"/>
    <s v="Office Supplies"/>
    <x v="0"/>
    <n v="1"/>
    <n v="491"/>
    <n v="491"/>
    <n v="96.95"/>
    <x v="0"/>
    <x v="2"/>
    <x v="2"/>
  </r>
  <r>
    <s v="ORD0249"/>
    <d v="2025-05-21T00:00:00"/>
    <x v="1"/>
    <s v="Electronics"/>
    <x v="4"/>
    <n v="7"/>
    <n v="3483"/>
    <n v="24381"/>
    <n v="4036.58"/>
    <x v="0"/>
    <x v="2"/>
    <x v="6"/>
  </r>
  <r>
    <s v="ORD0250"/>
    <d v="2025-11-17T00:00:00"/>
    <x v="3"/>
    <s v="Electronics"/>
    <x v="7"/>
    <n v="6"/>
    <n v="2312"/>
    <n v="13872"/>
    <n v="1924.96"/>
    <x v="0"/>
    <x v="10"/>
    <x v="1"/>
  </r>
  <r>
    <s v="ORD0251"/>
    <d v="2025-08-28T00:00:00"/>
    <x v="0"/>
    <s v="Office Supplies"/>
    <x v="6"/>
    <n v="5"/>
    <n v="1568"/>
    <n v="7840"/>
    <n v="2172.41"/>
    <x v="0"/>
    <x v="9"/>
    <x v="2"/>
  </r>
  <r>
    <s v="ORD0252"/>
    <d v="2025-05-25T00:00:00"/>
    <x v="3"/>
    <s v="Electronics"/>
    <x v="7"/>
    <n v="8"/>
    <n v="2378"/>
    <n v="19024"/>
    <n v="5591.12"/>
    <x v="0"/>
    <x v="2"/>
    <x v="5"/>
  </r>
  <r>
    <s v="ORD0253"/>
    <d v="2025-02-04T00:00:00"/>
    <x v="3"/>
    <s v="Office Supplies"/>
    <x v="0"/>
    <n v="5"/>
    <n v="2439"/>
    <n v="12195"/>
    <n v="2971.41"/>
    <x v="0"/>
    <x v="5"/>
    <x v="3"/>
  </r>
  <r>
    <s v="ORD0254"/>
    <d v="2025-07-18T00:00:00"/>
    <x v="1"/>
    <s v="Furniture"/>
    <x v="8"/>
    <n v="10"/>
    <n v="4839"/>
    <n v="48390"/>
    <n v="9649.52"/>
    <x v="0"/>
    <x v="3"/>
    <x v="0"/>
  </r>
  <r>
    <s v="ORD0255"/>
    <d v="2025-07-08T00:00:00"/>
    <x v="2"/>
    <s v="Furniture"/>
    <x v="1"/>
    <n v="2"/>
    <n v="3807"/>
    <n v="7614"/>
    <n v="1503.29"/>
    <x v="0"/>
    <x v="3"/>
    <x v="3"/>
  </r>
  <r>
    <s v="ORD0256"/>
    <d v="2025-06-16T00:00:00"/>
    <x v="1"/>
    <s v="Office Supplies"/>
    <x v="5"/>
    <n v="6"/>
    <n v="1654"/>
    <n v="9924"/>
    <n v="2058.65"/>
    <x v="0"/>
    <x v="6"/>
    <x v="1"/>
  </r>
  <r>
    <s v="ORD0257"/>
    <d v="2025-04-29T00:00:00"/>
    <x v="3"/>
    <s v="Furniture"/>
    <x v="2"/>
    <n v="5"/>
    <n v="3959"/>
    <n v="19795"/>
    <n v="3678.42"/>
    <x v="0"/>
    <x v="7"/>
    <x v="3"/>
  </r>
  <r>
    <s v="ORD0258"/>
    <d v="2025-05-04T00:00:00"/>
    <x v="2"/>
    <s v="Furniture"/>
    <x v="8"/>
    <n v="3"/>
    <n v="4668"/>
    <n v="14004"/>
    <n v="1670.3"/>
    <x v="0"/>
    <x v="2"/>
    <x v="5"/>
  </r>
  <r>
    <s v="ORD0259"/>
    <d v="2025-04-28T00:00:00"/>
    <x v="0"/>
    <s v="Electronics"/>
    <x v="4"/>
    <n v="5"/>
    <n v="4098"/>
    <n v="20490"/>
    <n v="5835.7"/>
    <x v="0"/>
    <x v="7"/>
    <x v="1"/>
  </r>
  <r>
    <s v="ORD0260"/>
    <d v="2025-11-30T00:00:00"/>
    <x v="3"/>
    <s v="Furniture"/>
    <x v="1"/>
    <n v="6"/>
    <n v="4988"/>
    <n v="29928"/>
    <n v="4670.22"/>
    <x v="0"/>
    <x v="10"/>
    <x v="5"/>
  </r>
  <r>
    <s v="ORD0261"/>
    <d v="2025-12-29T00:00:00"/>
    <x v="3"/>
    <s v="Office Supplies"/>
    <x v="6"/>
    <n v="7"/>
    <n v="3439"/>
    <n v="24073"/>
    <n v="3235.06"/>
    <x v="0"/>
    <x v="8"/>
    <x v="1"/>
  </r>
  <r>
    <s v="ORD0262"/>
    <d v="2025-02-22T00:00:00"/>
    <x v="3"/>
    <s v="Furniture"/>
    <x v="8"/>
    <n v="10"/>
    <n v="2417"/>
    <n v="24170"/>
    <n v="4172.01"/>
    <x v="0"/>
    <x v="5"/>
    <x v="4"/>
  </r>
  <r>
    <s v="ORD0263"/>
    <d v="2025-12-26T00:00:00"/>
    <x v="0"/>
    <s v="Office Supplies"/>
    <x v="6"/>
    <n v="4"/>
    <n v="2648"/>
    <n v="10592"/>
    <n v="1174.3399999999999"/>
    <x v="0"/>
    <x v="8"/>
    <x v="0"/>
  </r>
  <r>
    <s v="ORD0264"/>
    <d v="2025-03-16T00:00:00"/>
    <x v="2"/>
    <s v="Office Supplies"/>
    <x v="5"/>
    <n v="10"/>
    <n v="2179"/>
    <n v="21790"/>
    <n v="3111.77"/>
    <x v="0"/>
    <x v="1"/>
    <x v="5"/>
  </r>
  <r>
    <s v="ORD0265"/>
    <d v="2025-06-30T00:00:00"/>
    <x v="3"/>
    <s v="Office Supplies"/>
    <x v="6"/>
    <n v="1"/>
    <n v="394"/>
    <n v="394"/>
    <n v="114.03"/>
    <x v="0"/>
    <x v="6"/>
    <x v="1"/>
  </r>
  <r>
    <s v="ORD0266"/>
    <d v="2025-03-14T00:00:00"/>
    <x v="3"/>
    <s v="Electronics"/>
    <x v="9"/>
    <n v="6"/>
    <n v="652"/>
    <n v="3912"/>
    <n v="360.21"/>
    <x v="0"/>
    <x v="1"/>
    <x v="0"/>
  </r>
  <r>
    <s v="ORD0267"/>
    <d v="2025-06-08T00:00:00"/>
    <x v="3"/>
    <s v="Electronics"/>
    <x v="7"/>
    <n v="10"/>
    <n v="225"/>
    <n v="2250"/>
    <n v="417.39"/>
    <x v="0"/>
    <x v="6"/>
    <x v="5"/>
  </r>
  <r>
    <s v="ORD0268"/>
    <d v="2025-08-23T00:00:00"/>
    <x v="2"/>
    <s v="Furniture"/>
    <x v="8"/>
    <n v="10"/>
    <n v="2179"/>
    <n v="21790"/>
    <n v="3477.75"/>
    <x v="0"/>
    <x v="9"/>
    <x v="4"/>
  </r>
  <r>
    <s v="ORD0269"/>
    <d v="2025-05-02T00:00:00"/>
    <x v="2"/>
    <s v="Office Supplies"/>
    <x v="5"/>
    <n v="1"/>
    <n v="3785"/>
    <n v="3785"/>
    <n v="773.99"/>
    <x v="0"/>
    <x v="2"/>
    <x v="0"/>
  </r>
  <r>
    <s v="ORD0270"/>
    <d v="2025-02-01T00:00:00"/>
    <x v="3"/>
    <s v="Electronics"/>
    <x v="4"/>
    <n v="7"/>
    <n v="1983"/>
    <n v="13881"/>
    <n v="3589.05"/>
    <x v="0"/>
    <x v="5"/>
    <x v="4"/>
  </r>
  <r>
    <s v="ORD0271"/>
    <d v="2025-08-21T00:00:00"/>
    <x v="3"/>
    <s v="Office Supplies"/>
    <x v="5"/>
    <n v="3"/>
    <n v="3232"/>
    <n v="9696"/>
    <n v="1166.74"/>
    <x v="0"/>
    <x v="9"/>
    <x v="2"/>
  </r>
  <r>
    <s v="ORD0272"/>
    <d v="2025-04-28T00:00:00"/>
    <x v="2"/>
    <s v="Office Supplies"/>
    <x v="6"/>
    <n v="8"/>
    <n v="4401"/>
    <n v="35208"/>
    <n v="5208.46"/>
    <x v="0"/>
    <x v="7"/>
    <x v="1"/>
  </r>
  <r>
    <s v="ORD0273"/>
    <d v="2025-02-18T00:00:00"/>
    <x v="2"/>
    <s v="Office Supplies"/>
    <x v="0"/>
    <n v="3"/>
    <n v="3798"/>
    <n v="11394"/>
    <n v="2297.38"/>
    <x v="0"/>
    <x v="5"/>
    <x v="3"/>
  </r>
  <r>
    <s v="ORD0274"/>
    <d v="2025-03-27T00:00:00"/>
    <x v="0"/>
    <s v="Office Supplies"/>
    <x v="0"/>
    <n v="10"/>
    <n v="2756"/>
    <n v="27560"/>
    <n v="6093.69"/>
    <x v="0"/>
    <x v="1"/>
    <x v="2"/>
  </r>
  <r>
    <s v="ORD0275"/>
    <d v="2025-03-11T00:00:00"/>
    <x v="0"/>
    <s v="Electronics"/>
    <x v="4"/>
    <n v="5"/>
    <n v="4108"/>
    <n v="20540"/>
    <n v="3054.16"/>
    <x v="0"/>
    <x v="1"/>
    <x v="3"/>
  </r>
  <r>
    <s v="ORD0276"/>
    <d v="2025-06-09T00:00:00"/>
    <x v="3"/>
    <s v="Electronics"/>
    <x v="3"/>
    <n v="7"/>
    <n v="124"/>
    <n v="868"/>
    <n v="201.62"/>
    <x v="0"/>
    <x v="6"/>
    <x v="1"/>
  </r>
  <r>
    <s v="ORD0277"/>
    <d v="2025-10-09T00:00:00"/>
    <x v="1"/>
    <s v="Furniture"/>
    <x v="2"/>
    <n v="8"/>
    <n v="298"/>
    <n v="2384"/>
    <n v="423.91"/>
    <x v="0"/>
    <x v="4"/>
    <x v="2"/>
  </r>
  <r>
    <s v="ORD0278"/>
    <d v="2025-08-10T00:00:00"/>
    <x v="1"/>
    <s v="Electronics"/>
    <x v="9"/>
    <n v="8"/>
    <n v="3467"/>
    <n v="27736"/>
    <n v="6927.76"/>
    <x v="0"/>
    <x v="9"/>
    <x v="5"/>
  </r>
  <r>
    <s v="ORD0279"/>
    <d v="2025-02-26T00:00:00"/>
    <x v="2"/>
    <s v="Office Supplies"/>
    <x v="5"/>
    <n v="5"/>
    <n v="3903"/>
    <n v="19515"/>
    <n v="4181.08"/>
    <x v="0"/>
    <x v="5"/>
    <x v="6"/>
  </r>
  <r>
    <s v="ORD0280"/>
    <d v="2025-11-25T00:00:00"/>
    <x v="2"/>
    <s v="Furniture"/>
    <x v="1"/>
    <n v="3"/>
    <n v="2610"/>
    <n v="7830"/>
    <n v="1440.66"/>
    <x v="0"/>
    <x v="10"/>
    <x v="3"/>
  </r>
  <r>
    <s v="ORD0281"/>
    <d v="2025-05-08T00:00:00"/>
    <x v="2"/>
    <s v="Electronics"/>
    <x v="9"/>
    <n v="7"/>
    <n v="2912"/>
    <n v="20384"/>
    <n v="4766.51"/>
    <x v="0"/>
    <x v="2"/>
    <x v="2"/>
  </r>
  <r>
    <s v="ORD0282"/>
    <d v="2025-04-19T00:00:00"/>
    <x v="0"/>
    <s v="Furniture"/>
    <x v="1"/>
    <n v="4"/>
    <n v="438"/>
    <n v="1752"/>
    <n v="269.64"/>
    <x v="0"/>
    <x v="7"/>
    <x v="4"/>
  </r>
  <r>
    <s v="ORD0283"/>
    <d v="2025-04-23T00:00:00"/>
    <x v="0"/>
    <s v="Furniture"/>
    <x v="2"/>
    <n v="4"/>
    <n v="2871"/>
    <n v="11484"/>
    <n v="1587.58"/>
    <x v="0"/>
    <x v="7"/>
    <x v="6"/>
  </r>
  <r>
    <s v="ORD0284"/>
    <d v="2025-10-23T00:00:00"/>
    <x v="2"/>
    <s v="Furniture"/>
    <x v="1"/>
    <n v="1"/>
    <n v="2902"/>
    <n v="2902"/>
    <n v="407.58"/>
    <x v="0"/>
    <x v="4"/>
    <x v="2"/>
  </r>
  <r>
    <s v="ORD0285"/>
    <d v="2025-12-28T00:00:00"/>
    <x v="0"/>
    <s v="Furniture"/>
    <x v="2"/>
    <n v="10"/>
    <n v="2952"/>
    <n v="29520"/>
    <n v="2414.19"/>
    <x v="0"/>
    <x v="8"/>
    <x v="5"/>
  </r>
  <r>
    <s v="ORD0286"/>
    <d v="2025-11-17T00:00:00"/>
    <x v="1"/>
    <s v="Furniture"/>
    <x v="1"/>
    <n v="10"/>
    <n v="2457"/>
    <n v="24570"/>
    <n v="3075.35"/>
    <x v="0"/>
    <x v="10"/>
    <x v="1"/>
  </r>
  <r>
    <s v="ORD0287"/>
    <d v="2025-06-13T00:00:00"/>
    <x v="2"/>
    <s v="Electronics"/>
    <x v="4"/>
    <n v="5"/>
    <n v="1456"/>
    <n v="7280"/>
    <n v="1768.87"/>
    <x v="0"/>
    <x v="6"/>
    <x v="0"/>
  </r>
  <r>
    <s v="ORD0288"/>
    <d v="2025-08-24T00:00:00"/>
    <x v="0"/>
    <s v="Office Supplies"/>
    <x v="6"/>
    <n v="8"/>
    <n v="4323"/>
    <n v="34584"/>
    <n v="4841.9399999999996"/>
    <x v="0"/>
    <x v="9"/>
    <x v="5"/>
  </r>
  <r>
    <s v="ORD0289"/>
    <d v="2025-10-26T00:00:00"/>
    <x v="0"/>
    <s v="Office Supplies"/>
    <x v="5"/>
    <n v="2"/>
    <n v="3132"/>
    <n v="6264"/>
    <n v="859.99"/>
    <x v="0"/>
    <x v="4"/>
    <x v="5"/>
  </r>
  <r>
    <s v="ORD0290"/>
    <d v="2025-05-08T00:00:00"/>
    <x v="0"/>
    <s v="Furniture"/>
    <x v="8"/>
    <n v="5"/>
    <n v="3983"/>
    <n v="19915"/>
    <n v="4186.67"/>
    <x v="0"/>
    <x v="2"/>
    <x v="2"/>
  </r>
  <r>
    <s v="ORD0291"/>
    <d v="2025-07-23T00:00:00"/>
    <x v="3"/>
    <s v="Office Supplies"/>
    <x v="6"/>
    <n v="3"/>
    <n v="4134"/>
    <n v="12402"/>
    <n v="2719.24"/>
    <x v="0"/>
    <x v="3"/>
    <x v="6"/>
  </r>
  <r>
    <s v="ORD0292"/>
    <d v="2025-06-23T00:00:00"/>
    <x v="0"/>
    <s v="Office Supplies"/>
    <x v="5"/>
    <n v="3"/>
    <n v="127"/>
    <n v="381"/>
    <n v="86.53"/>
    <x v="0"/>
    <x v="6"/>
    <x v="1"/>
  </r>
  <r>
    <s v="ORD0293"/>
    <d v="2025-10-04T00:00:00"/>
    <x v="0"/>
    <s v="Office Supplies"/>
    <x v="5"/>
    <n v="5"/>
    <n v="4001"/>
    <n v="20005"/>
    <n v="3423.72"/>
    <x v="0"/>
    <x v="4"/>
    <x v="4"/>
  </r>
  <r>
    <s v="ORD0294"/>
    <d v="2025-05-10T00:00:00"/>
    <x v="3"/>
    <s v="Electronics"/>
    <x v="4"/>
    <n v="8"/>
    <n v="2825"/>
    <n v="22600"/>
    <n v="6611.82"/>
    <x v="0"/>
    <x v="2"/>
    <x v="4"/>
  </r>
  <r>
    <s v="ORD0295"/>
    <d v="2025-12-20T00:00:00"/>
    <x v="3"/>
    <s v="Furniture"/>
    <x v="2"/>
    <n v="2"/>
    <n v="1785"/>
    <n v="3570"/>
    <n v="880.67"/>
    <x v="0"/>
    <x v="8"/>
    <x v="4"/>
  </r>
  <r>
    <s v="ORD0296"/>
    <d v="2025-12-05T00:00:00"/>
    <x v="3"/>
    <s v="Electronics"/>
    <x v="4"/>
    <n v="5"/>
    <n v="4853"/>
    <n v="24265"/>
    <n v="4492.2"/>
    <x v="0"/>
    <x v="8"/>
    <x v="0"/>
  </r>
  <r>
    <s v="ORD0297"/>
    <d v="2025-01-14T00:00:00"/>
    <x v="0"/>
    <s v="Office Supplies"/>
    <x v="6"/>
    <n v="6"/>
    <n v="3334"/>
    <n v="20004"/>
    <n v="2624.34"/>
    <x v="0"/>
    <x v="11"/>
    <x v="3"/>
  </r>
  <r>
    <s v="ORD0298"/>
    <d v="2025-09-13T00:00:00"/>
    <x v="3"/>
    <s v="Electronics"/>
    <x v="4"/>
    <n v="10"/>
    <n v="3135"/>
    <n v="31350"/>
    <n v="6829"/>
    <x v="0"/>
    <x v="12"/>
    <x v="4"/>
  </r>
  <r>
    <s v="ORD0299"/>
    <d v="2025-07-18T00:00:00"/>
    <x v="3"/>
    <s v="Electronics"/>
    <x v="3"/>
    <n v="9"/>
    <n v="3170"/>
    <n v="28530"/>
    <n v="4077.49"/>
    <x v="0"/>
    <x v="3"/>
    <x v="0"/>
  </r>
  <r>
    <s v="ORD0300"/>
    <d v="2025-06-19T00:00:00"/>
    <x v="0"/>
    <s v="Furniture"/>
    <x v="8"/>
    <n v="10"/>
    <n v="1048"/>
    <n v="10480"/>
    <n v="980.93"/>
    <x v="0"/>
    <x v="6"/>
    <x v="2"/>
  </r>
  <r>
    <s v="ORD0301"/>
    <d v="2025-08-29T00:00:00"/>
    <x v="0"/>
    <s v="Furniture"/>
    <x v="1"/>
    <n v="5"/>
    <n v="3503"/>
    <n v="17515"/>
    <n v="2173.1"/>
    <x v="0"/>
    <x v="9"/>
    <x v="0"/>
  </r>
  <r>
    <s v="ORD0302"/>
    <d v="2025-01-31T00:00:00"/>
    <x v="1"/>
    <s v="Electronics"/>
    <x v="7"/>
    <n v="9"/>
    <n v="4161"/>
    <n v="37449"/>
    <n v="9900.41"/>
    <x v="0"/>
    <x v="11"/>
    <x v="0"/>
  </r>
  <r>
    <s v="ORD0303"/>
    <d v="2025-10-14T00:00:00"/>
    <x v="1"/>
    <s v="Office Supplies"/>
    <x v="5"/>
    <n v="1"/>
    <n v="789"/>
    <n v="789"/>
    <n v="185.72"/>
    <x v="0"/>
    <x v="4"/>
    <x v="3"/>
  </r>
  <r>
    <s v="ORD0304"/>
    <d v="2025-11-29T00:00:00"/>
    <x v="2"/>
    <s v="Office Supplies"/>
    <x v="5"/>
    <n v="9"/>
    <n v="1400"/>
    <n v="12600"/>
    <n v="2555.2800000000002"/>
    <x v="0"/>
    <x v="10"/>
    <x v="4"/>
  </r>
  <r>
    <s v="ORD0305"/>
    <d v="2025-11-27T00:00:00"/>
    <x v="1"/>
    <s v="Furniture"/>
    <x v="1"/>
    <n v="4"/>
    <n v="1352"/>
    <n v="5408"/>
    <n v="1327.78"/>
    <x v="0"/>
    <x v="10"/>
    <x v="2"/>
  </r>
  <r>
    <s v="ORD0306"/>
    <d v="2025-01-02T00:00:00"/>
    <x v="0"/>
    <s v="Office Supplies"/>
    <x v="0"/>
    <n v="2"/>
    <n v="482"/>
    <n v="964"/>
    <n v="261.08"/>
    <x v="0"/>
    <x v="11"/>
    <x v="2"/>
  </r>
  <r>
    <s v="ORD0307"/>
    <d v="2025-10-01T00:00:00"/>
    <x v="1"/>
    <s v="Furniture"/>
    <x v="2"/>
    <n v="5"/>
    <n v="1869"/>
    <n v="9345"/>
    <n v="769.66"/>
    <x v="0"/>
    <x v="4"/>
    <x v="6"/>
  </r>
  <r>
    <s v="ORD0308"/>
    <d v="2025-06-24T00:00:00"/>
    <x v="1"/>
    <s v="Electronics"/>
    <x v="3"/>
    <n v="7"/>
    <n v="3281"/>
    <n v="22967"/>
    <n v="4860.5200000000004"/>
    <x v="0"/>
    <x v="6"/>
    <x v="3"/>
  </r>
  <r>
    <s v="ORD0309"/>
    <d v="2025-10-13T00:00:00"/>
    <x v="3"/>
    <s v="Electronics"/>
    <x v="4"/>
    <n v="6"/>
    <n v="4978"/>
    <n v="29868"/>
    <n v="6726.58"/>
    <x v="0"/>
    <x v="4"/>
    <x v="1"/>
  </r>
  <r>
    <s v="ORD0310"/>
    <d v="2025-03-11T00:00:00"/>
    <x v="1"/>
    <s v="Office Supplies"/>
    <x v="6"/>
    <n v="3"/>
    <n v="4754"/>
    <n v="14262"/>
    <n v="1567.85"/>
    <x v="0"/>
    <x v="1"/>
    <x v="3"/>
  </r>
  <r>
    <s v="ORD0311"/>
    <d v="2025-05-13T00:00:00"/>
    <x v="0"/>
    <s v="Office Supplies"/>
    <x v="0"/>
    <n v="6"/>
    <n v="2581"/>
    <n v="15486"/>
    <n v="1439.68"/>
    <x v="0"/>
    <x v="2"/>
    <x v="3"/>
  </r>
  <r>
    <s v="ORD0312"/>
    <d v="2025-10-20T00:00:00"/>
    <x v="2"/>
    <s v="Electronics"/>
    <x v="7"/>
    <n v="3"/>
    <n v="300"/>
    <n v="900"/>
    <n v="195.8"/>
    <x v="0"/>
    <x v="4"/>
    <x v="1"/>
  </r>
  <r>
    <s v="ORD0313"/>
    <d v="2025-06-26T00:00:00"/>
    <x v="3"/>
    <s v="Electronics"/>
    <x v="7"/>
    <n v="10"/>
    <n v="3489"/>
    <n v="34890"/>
    <n v="8341.59"/>
    <x v="0"/>
    <x v="6"/>
    <x v="2"/>
  </r>
  <r>
    <s v="ORD0314"/>
    <d v="2025-03-11T00:00:00"/>
    <x v="3"/>
    <s v="Office Supplies"/>
    <x v="6"/>
    <n v="5"/>
    <n v="3147"/>
    <n v="15735"/>
    <n v="1736.95"/>
    <x v="0"/>
    <x v="1"/>
    <x v="3"/>
  </r>
  <r>
    <s v="ORD0315"/>
    <d v="2025-04-28T00:00:00"/>
    <x v="2"/>
    <s v="Electronics"/>
    <x v="9"/>
    <n v="10"/>
    <n v="4247"/>
    <n v="42470"/>
    <n v="4185.53"/>
    <x v="0"/>
    <x v="7"/>
    <x v="1"/>
  </r>
  <r>
    <s v="ORD0316"/>
    <d v="2025-04-01T00:00:00"/>
    <x v="2"/>
    <s v="Furniture"/>
    <x v="8"/>
    <n v="1"/>
    <n v="2246"/>
    <n v="2246"/>
    <n v="408.98"/>
    <x v="0"/>
    <x v="7"/>
    <x v="3"/>
  </r>
  <r>
    <s v="ORD0317"/>
    <d v="2025-08-17T00:00:00"/>
    <x v="2"/>
    <s v="Office Supplies"/>
    <x v="6"/>
    <n v="9"/>
    <n v="4980"/>
    <n v="44820"/>
    <n v="13336.86"/>
    <x v="0"/>
    <x v="9"/>
    <x v="5"/>
  </r>
  <r>
    <s v="ORD0318"/>
    <d v="2025-08-18T00:00:00"/>
    <x v="1"/>
    <s v="Furniture"/>
    <x v="8"/>
    <n v="4"/>
    <n v="1754"/>
    <n v="7016"/>
    <n v="1456.25"/>
    <x v="0"/>
    <x v="9"/>
    <x v="1"/>
  </r>
  <r>
    <s v="ORD0319"/>
    <d v="2025-08-27T00:00:00"/>
    <x v="1"/>
    <s v="Electronics"/>
    <x v="7"/>
    <n v="9"/>
    <n v="1866"/>
    <n v="16794"/>
    <n v="1616.11"/>
    <x v="0"/>
    <x v="9"/>
    <x v="6"/>
  </r>
  <r>
    <s v="ORD0320"/>
    <d v="2025-02-23T00:00:00"/>
    <x v="0"/>
    <s v="Furniture"/>
    <x v="8"/>
    <n v="6"/>
    <n v="4615"/>
    <n v="27690"/>
    <n v="7958.32"/>
    <x v="0"/>
    <x v="5"/>
    <x v="5"/>
  </r>
  <r>
    <s v="ORD0321"/>
    <d v="2025-01-27T00:00:00"/>
    <x v="0"/>
    <s v="Office Supplies"/>
    <x v="6"/>
    <n v="2"/>
    <n v="3464"/>
    <n v="6928"/>
    <n v="1902.85"/>
    <x v="0"/>
    <x v="11"/>
    <x v="1"/>
  </r>
  <r>
    <s v="ORD0322"/>
    <d v="2025-05-07T00:00:00"/>
    <x v="2"/>
    <s v="Electronics"/>
    <x v="9"/>
    <n v="1"/>
    <n v="689"/>
    <n v="689"/>
    <n v="55.67"/>
    <x v="0"/>
    <x v="2"/>
    <x v="6"/>
  </r>
  <r>
    <s v="ORD0323"/>
    <d v="2025-03-30T00:00:00"/>
    <x v="2"/>
    <s v="Office Supplies"/>
    <x v="6"/>
    <n v="2"/>
    <n v="2384"/>
    <n v="4768"/>
    <n v="823.98"/>
    <x v="0"/>
    <x v="1"/>
    <x v="5"/>
  </r>
  <r>
    <s v="ORD0324"/>
    <d v="2025-09-18T00:00:00"/>
    <x v="0"/>
    <s v="Furniture"/>
    <x v="2"/>
    <n v="5"/>
    <n v="2773"/>
    <n v="13865"/>
    <n v="3090.42"/>
    <x v="0"/>
    <x v="12"/>
    <x v="2"/>
  </r>
  <r>
    <s v="ORD0325"/>
    <d v="2025-10-09T00:00:00"/>
    <x v="1"/>
    <s v="Office Supplies"/>
    <x v="5"/>
    <n v="1"/>
    <n v="4371"/>
    <n v="4371"/>
    <n v="824.96"/>
    <x v="0"/>
    <x v="4"/>
    <x v="2"/>
  </r>
  <r>
    <s v="ORD0326"/>
    <d v="2025-08-08T00:00:00"/>
    <x v="2"/>
    <s v="Furniture"/>
    <x v="1"/>
    <n v="9"/>
    <n v="365"/>
    <n v="3285"/>
    <n v="918.33"/>
    <x v="0"/>
    <x v="9"/>
    <x v="0"/>
  </r>
  <r>
    <s v="ORD0327"/>
    <d v="2025-12-30T00:00:00"/>
    <x v="3"/>
    <s v="Furniture"/>
    <x v="2"/>
    <n v="2"/>
    <n v="2237"/>
    <n v="4474"/>
    <n v="743.85"/>
    <x v="0"/>
    <x v="8"/>
    <x v="3"/>
  </r>
  <r>
    <s v="ORD0328"/>
    <d v="2025-01-27T00:00:00"/>
    <x v="2"/>
    <s v="Electronics"/>
    <x v="7"/>
    <n v="2"/>
    <n v="2320"/>
    <n v="4640"/>
    <n v="448.73"/>
    <x v="0"/>
    <x v="11"/>
    <x v="1"/>
  </r>
  <r>
    <s v="ORD0329"/>
    <d v="2025-02-14T00:00:00"/>
    <x v="0"/>
    <s v="Furniture"/>
    <x v="1"/>
    <n v="1"/>
    <n v="1880"/>
    <n v="1880"/>
    <n v="361.54"/>
    <x v="0"/>
    <x v="5"/>
    <x v="0"/>
  </r>
  <r>
    <s v="ORD0330"/>
    <d v="2025-11-17T00:00:00"/>
    <x v="3"/>
    <s v="Electronics"/>
    <x v="4"/>
    <n v="9"/>
    <n v="3093"/>
    <n v="27837"/>
    <n v="3089.64"/>
    <x v="0"/>
    <x v="10"/>
    <x v="1"/>
  </r>
  <r>
    <s v="ORD0331"/>
    <d v="2025-03-24T00:00:00"/>
    <x v="2"/>
    <s v="Furniture"/>
    <x v="8"/>
    <n v="10"/>
    <n v="705"/>
    <n v="7050"/>
    <n v="1524.79"/>
    <x v="0"/>
    <x v="1"/>
    <x v="1"/>
  </r>
  <r>
    <s v="ORD0332"/>
    <d v="2025-08-31T00:00:00"/>
    <x v="1"/>
    <s v="Electronics"/>
    <x v="4"/>
    <n v="10"/>
    <n v="4282"/>
    <n v="42820"/>
    <n v="3527.16"/>
    <x v="0"/>
    <x v="9"/>
    <x v="5"/>
  </r>
  <r>
    <s v="ORD0333"/>
    <d v="2025-11-06T00:00:00"/>
    <x v="1"/>
    <s v="Office Supplies"/>
    <x v="0"/>
    <n v="2"/>
    <n v="916"/>
    <n v="1832"/>
    <n v="276.77999999999997"/>
    <x v="0"/>
    <x v="10"/>
    <x v="2"/>
  </r>
  <r>
    <s v="ORD0334"/>
    <d v="2025-06-02T00:00:00"/>
    <x v="2"/>
    <s v="Office Supplies"/>
    <x v="0"/>
    <n v="1"/>
    <n v="2809"/>
    <n v="2809"/>
    <n v="645.83000000000004"/>
    <x v="0"/>
    <x v="6"/>
    <x v="1"/>
  </r>
  <r>
    <s v="ORD0335"/>
    <d v="2025-08-12T00:00:00"/>
    <x v="1"/>
    <s v="Electronics"/>
    <x v="7"/>
    <n v="8"/>
    <n v="3800"/>
    <n v="30400"/>
    <n v="6862.78"/>
    <x v="0"/>
    <x v="9"/>
    <x v="3"/>
  </r>
  <r>
    <s v="ORD0336"/>
    <d v="2025-11-23T00:00:00"/>
    <x v="0"/>
    <s v="Furniture"/>
    <x v="1"/>
    <n v="7"/>
    <n v="268"/>
    <n v="1876"/>
    <n v="533.55999999999995"/>
    <x v="0"/>
    <x v="10"/>
    <x v="5"/>
  </r>
  <r>
    <s v="ORD0337"/>
    <d v="2025-01-05T00:00:00"/>
    <x v="0"/>
    <s v="Furniture"/>
    <x v="8"/>
    <n v="2"/>
    <n v="3047"/>
    <n v="6094"/>
    <n v="1257.1099999999999"/>
    <x v="0"/>
    <x v="11"/>
    <x v="5"/>
  </r>
  <r>
    <s v="ORD0338"/>
    <d v="2025-02-16T00:00:00"/>
    <x v="2"/>
    <s v="Office Supplies"/>
    <x v="0"/>
    <n v="8"/>
    <n v="4408"/>
    <n v="35264"/>
    <n v="5618.71"/>
    <x v="0"/>
    <x v="5"/>
    <x v="5"/>
  </r>
  <r>
    <s v="ORD0339"/>
    <d v="2025-01-21T00:00:00"/>
    <x v="3"/>
    <s v="Electronics"/>
    <x v="3"/>
    <n v="8"/>
    <n v="3912"/>
    <n v="31296"/>
    <n v="5728.9"/>
    <x v="0"/>
    <x v="11"/>
    <x v="3"/>
  </r>
  <r>
    <s v="ORD0340"/>
    <d v="2025-11-09T00:00:00"/>
    <x v="1"/>
    <s v="Furniture"/>
    <x v="8"/>
    <n v="8"/>
    <n v="1650"/>
    <n v="13200"/>
    <n v="1535.31"/>
    <x v="0"/>
    <x v="10"/>
    <x v="5"/>
  </r>
  <r>
    <s v="ORD0341"/>
    <d v="2025-05-14T00:00:00"/>
    <x v="1"/>
    <s v="Office Supplies"/>
    <x v="0"/>
    <n v="9"/>
    <n v="1026"/>
    <n v="9234"/>
    <n v="1317.64"/>
    <x v="0"/>
    <x v="2"/>
    <x v="6"/>
  </r>
  <r>
    <s v="ORD0342"/>
    <d v="2025-08-09T00:00:00"/>
    <x v="0"/>
    <s v="Electronics"/>
    <x v="3"/>
    <n v="1"/>
    <n v="3474"/>
    <n v="3474"/>
    <n v="985.05"/>
    <x v="0"/>
    <x v="9"/>
    <x v="4"/>
  </r>
  <r>
    <s v="ORD0343"/>
    <d v="2025-05-12T00:00:00"/>
    <x v="2"/>
    <s v="Furniture"/>
    <x v="1"/>
    <n v="10"/>
    <n v="1171"/>
    <n v="11710"/>
    <n v="2750.08"/>
    <x v="0"/>
    <x v="2"/>
    <x v="1"/>
  </r>
  <r>
    <s v="ORD0344"/>
    <d v="2025-09-17T00:00:00"/>
    <x v="1"/>
    <s v="Furniture"/>
    <x v="1"/>
    <n v="10"/>
    <n v="2653"/>
    <n v="26530"/>
    <n v="2319.0300000000002"/>
    <x v="0"/>
    <x v="12"/>
    <x v="6"/>
  </r>
  <r>
    <s v="ORD0345"/>
    <d v="2025-08-12T00:00:00"/>
    <x v="0"/>
    <s v="Office Supplies"/>
    <x v="6"/>
    <n v="6"/>
    <n v="3365"/>
    <n v="20190"/>
    <n v="5179.3900000000003"/>
    <x v="0"/>
    <x v="9"/>
    <x v="3"/>
  </r>
  <r>
    <s v="ORD0346"/>
    <d v="2025-10-12T00:00:00"/>
    <x v="1"/>
    <s v="Office Supplies"/>
    <x v="5"/>
    <n v="2"/>
    <n v="3253"/>
    <n v="6506"/>
    <n v="1467.95"/>
    <x v="0"/>
    <x v="4"/>
    <x v="5"/>
  </r>
  <r>
    <s v="ORD0347"/>
    <d v="2025-11-09T00:00:00"/>
    <x v="0"/>
    <s v="Electronics"/>
    <x v="3"/>
    <n v="9"/>
    <n v="465"/>
    <n v="4185"/>
    <n v="702.49"/>
    <x v="0"/>
    <x v="10"/>
    <x v="5"/>
  </r>
  <r>
    <s v="ORD0348"/>
    <d v="2025-11-08T00:00:00"/>
    <x v="2"/>
    <s v="Furniture"/>
    <x v="2"/>
    <n v="5"/>
    <n v="4628"/>
    <n v="23140"/>
    <n v="6748.83"/>
    <x v="0"/>
    <x v="10"/>
    <x v="4"/>
  </r>
  <r>
    <s v="ORD0349"/>
    <d v="2025-08-30T00:00:00"/>
    <x v="2"/>
    <s v="Furniture"/>
    <x v="1"/>
    <n v="4"/>
    <n v="4697"/>
    <n v="18788"/>
    <n v="5611.64"/>
    <x v="0"/>
    <x v="9"/>
    <x v="4"/>
  </r>
  <r>
    <s v="ORD0350"/>
    <d v="2025-03-02T00:00:00"/>
    <x v="1"/>
    <s v="Office Supplies"/>
    <x v="6"/>
    <n v="9"/>
    <n v="3568"/>
    <n v="32112"/>
    <n v="5106.18"/>
    <x v="0"/>
    <x v="1"/>
    <x v="5"/>
  </r>
  <r>
    <s v="ORD0351"/>
    <d v="2025-09-26T00:00:00"/>
    <x v="2"/>
    <s v="Electronics"/>
    <x v="9"/>
    <n v="6"/>
    <n v="4874"/>
    <n v="29244"/>
    <n v="5183.8900000000003"/>
    <x v="0"/>
    <x v="12"/>
    <x v="0"/>
  </r>
  <r>
    <s v="ORD0352"/>
    <d v="2025-09-11T00:00:00"/>
    <x v="0"/>
    <s v="Electronics"/>
    <x v="9"/>
    <n v="10"/>
    <n v="2608"/>
    <n v="26080"/>
    <n v="5917.51"/>
    <x v="0"/>
    <x v="12"/>
    <x v="2"/>
  </r>
  <r>
    <s v="ORD0353"/>
    <d v="2025-03-20T00:00:00"/>
    <x v="2"/>
    <s v="Furniture"/>
    <x v="1"/>
    <n v="6"/>
    <n v="4118"/>
    <n v="24708"/>
    <n v="7191.3"/>
    <x v="0"/>
    <x v="1"/>
    <x v="2"/>
  </r>
  <r>
    <s v="ORD0354"/>
    <d v="2025-03-01T00:00:00"/>
    <x v="0"/>
    <s v="Furniture"/>
    <x v="1"/>
    <n v="3"/>
    <n v="130"/>
    <n v="390"/>
    <n v="51.59"/>
    <x v="0"/>
    <x v="1"/>
    <x v="4"/>
  </r>
  <r>
    <s v="ORD0355"/>
    <d v="2025-04-19T00:00:00"/>
    <x v="2"/>
    <s v="Electronics"/>
    <x v="7"/>
    <n v="3"/>
    <n v="980"/>
    <n v="2940"/>
    <n v="821.78"/>
    <x v="0"/>
    <x v="7"/>
    <x v="4"/>
  </r>
  <r>
    <s v="ORD0356"/>
    <d v="2025-06-14T00:00:00"/>
    <x v="1"/>
    <s v="Furniture"/>
    <x v="8"/>
    <n v="6"/>
    <n v="3497"/>
    <n v="20982"/>
    <n v="3861.54"/>
    <x v="0"/>
    <x v="6"/>
    <x v="4"/>
  </r>
  <r>
    <s v="ORD0357"/>
    <d v="2025-11-15T00:00:00"/>
    <x v="2"/>
    <s v="Furniture"/>
    <x v="1"/>
    <n v="4"/>
    <n v="1059"/>
    <n v="4236"/>
    <n v="629.41"/>
    <x v="0"/>
    <x v="10"/>
    <x v="4"/>
  </r>
  <r>
    <s v="ORD0358"/>
    <d v="2025-04-19T00:00:00"/>
    <x v="3"/>
    <s v="Office Supplies"/>
    <x v="5"/>
    <n v="9"/>
    <n v="472"/>
    <n v="4248"/>
    <n v="468.6"/>
    <x v="0"/>
    <x v="7"/>
    <x v="4"/>
  </r>
  <r>
    <s v="ORD0359"/>
    <d v="2025-12-14T00:00:00"/>
    <x v="0"/>
    <s v="Office Supplies"/>
    <x v="6"/>
    <n v="8"/>
    <n v="3748"/>
    <n v="29984"/>
    <n v="4640.46"/>
    <x v="0"/>
    <x v="8"/>
    <x v="5"/>
  </r>
  <r>
    <s v="ORD0360"/>
    <d v="2025-12-26T00:00:00"/>
    <x v="3"/>
    <s v="Electronics"/>
    <x v="9"/>
    <n v="5"/>
    <n v="2044"/>
    <n v="10220"/>
    <n v="1679.56"/>
    <x v="0"/>
    <x v="8"/>
    <x v="0"/>
  </r>
  <r>
    <s v="ORD0361"/>
    <d v="2025-03-16T00:00:00"/>
    <x v="2"/>
    <s v="Office Supplies"/>
    <x v="5"/>
    <n v="8"/>
    <n v="2786"/>
    <n v="22288"/>
    <n v="3501.7"/>
    <x v="0"/>
    <x v="1"/>
    <x v="5"/>
  </r>
  <r>
    <s v="ORD0362"/>
    <d v="2025-04-06T00:00:00"/>
    <x v="1"/>
    <s v="Office Supplies"/>
    <x v="6"/>
    <n v="8"/>
    <n v="373"/>
    <n v="2984"/>
    <n v="786.97"/>
    <x v="0"/>
    <x v="7"/>
    <x v="5"/>
  </r>
  <r>
    <s v="ORD0363"/>
    <d v="2025-07-31T00:00:00"/>
    <x v="2"/>
    <s v="Electronics"/>
    <x v="3"/>
    <n v="8"/>
    <n v="4004"/>
    <n v="32032"/>
    <n v="7656.62"/>
    <x v="0"/>
    <x v="3"/>
    <x v="2"/>
  </r>
  <r>
    <s v="ORD0364"/>
    <d v="2025-06-10T00:00:00"/>
    <x v="0"/>
    <s v="Electronics"/>
    <x v="7"/>
    <n v="1"/>
    <n v="3079"/>
    <n v="3079"/>
    <n v="743.88"/>
    <x v="0"/>
    <x v="6"/>
    <x v="3"/>
  </r>
  <r>
    <s v="ORD0365"/>
    <d v="2025-12-06T00:00:00"/>
    <x v="1"/>
    <s v="Office Supplies"/>
    <x v="0"/>
    <n v="7"/>
    <n v="2072"/>
    <n v="14504"/>
    <n v="1742.41"/>
    <x v="0"/>
    <x v="8"/>
    <x v="4"/>
  </r>
  <r>
    <s v="ORD0366"/>
    <d v="2025-05-29T00:00:00"/>
    <x v="0"/>
    <s v="Electronics"/>
    <x v="4"/>
    <n v="7"/>
    <n v="469"/>
    <n v="3283"/>
    <n v="754.37"/>
    <x v="0"/>
    <x v="2"/>
    <x v="2"/>
  </r>
  <r>
    <s v="ORD0367"/>
    <d v="2025-10-29T00:00:00"/>
    <x v="1"/>
    <s v="Electronics"/>
    <x v="7"/>
    <n v="3"/>
    <n v="4629"/>
    <n v="13887"/>
    <n v="2949.05"/>
    <x v="0"/>
    <x v="4"/>
    <x v="6"/>
  </r>
  <r>
    <s v="ORD0368"/>
    <d v="2025-03-22T00:00:00"/>
    <x v="1"/>
    <s v="Office Supplies"/>
    <x v="5"/>
    <n v="5"/>
    <n v="1668"/>
    <n v="8340"/>
    <n v="1584.18"/>
    <x v="0"/>
    <x v="1"/>
    <x v="4"/>
  </r>
  <r>
    <s v="ORD0369"/>
    <d v="2025-06-08T00:00:00"/>
    <x v="1"/>
    <s v="Electronics"/>
    <x v="7"/>
    <n v="2"/>
    <n v="2716"/>
    <n v="5432"/>
    <n v="481.82"/>
    <x v="0"/>
    <x v="6"/>
    <x v="5"/>
  </r>
  <r>
    <s v="ORD0370"/>
    <d v="2025-07-30T00:00:00"/>
    <x v="3"/>
    <s v="Office Supplies"/>
    <x v="6"/>
    <n v="2"/>
    <n v="4931"/>
    <n v="9862"/>
    <n v="2304.85"/>
    <x v="0"/>
    <x v="3"/>
    <x v="6"/>
  </r>
  <r>
    <s v="ORD0371"/>
    <d v="2025-06-23T00:00:00"/>
    <x v="1"/>
    <s v="Electronics"/>
    <x v="4"/>
    <n v="5"/>
    <n v="1781"/>
    <n v="8905"/>
    <n v="1391.96"/>
    <x v="0"/>
    <x v="6"/>
    <x v="1"/>
  </r>
  <r>
    <s v="ORD0372"/>
    <d v="2025-05-06T00:00:00"/>
    <x v="3"/>
    <s v="Furniture"/>
    <x v="8"/>
    <n v="10"/>
    <n v="4579"/>
    <n v="45790"/>
    <n v="7005"/>
    <x v="0"/>
    <x v="2"/>
    <x v="3"/>
  </r>
  <r>
    <s v="ORD0373"/>
    <d v="2025-03-26T00:00:00"/>
    <x v="3"/>
    <s v="Electronics"/>
    <x v="7"/>
    <n v="10"/>
    <n v="3505"/>
    <n v="35050"/>
    <n v="7767.95"/>
    <x v="0"/>
    <x v="1"/>
    <x v="6"/>
  </r>
  <r>
    <s v="ORD0374"/>
    <d v="2025-04-10T00:00:00"/>
    <x v="3"/>
    <s v="Electronics"/>
    <x v="4"/>
    <n v="1"/>
    <n v="3215"/>
    <n v="3215"/>
    <n v="280.60000000000002"/>
    <x v="0"/>
    <x v="7"/>
    <x v="2"/>
  </r>
  <r>
    <s v="ORD0375"/>
    <d v="2025-10-22T00:00:00"/>
    <x v="3"/>
    <s v="Furniture"/>
    <x v="1"/>
    <n v="9"/>
    <n v="1677"/>
    <n v="15093"/>
    <n v="1808.3"/>
    <x v="0"/>
    <x v="4"/>
    <x v="6"/>
  </r>
  <r>
    <s v="ORD0376"/>
    <d v="2025-04-05T00:00:00"/>
    <x v="1"/>
    <s v="Furniture"/>
    <x v="1"/>
    <n v="8"/>
    <n v="3947"/>
    <n v="31576"/>
    <n v="7600.25"/>
    <x v="0"/>
    <x v="7"/>
    <x v="4"/>
  </r>
  <r>
    <s v="ORD0377"/>
    <d v="2025-10-22T00:00:00"/>
    <x v="2"/>
    <s v="Office Supplies"/>
    <x v="6"/>
    <n v="10"/>
    <n v="2974"/>
    <n v="29740"/>
    <n v="7260.19"/>
    <x v="0"/>
    <x v="4"/>
    <x v="6"/>
  </r>
  <r>
    <s v="ORD0378"/>
    <d v="2025-12-18T00:00:00"/>
    <x v="2"/>
    <s v="Office Supplies"/>
    <x v="6"/>
    <n v="5"/>
    <n v="4081"/>
    <n v="20405"/>
    <n v="5845.53"/>
    <x v="0"/>
    <x v="8"/>
    <x v="2"/>
  </r>
  <r>
    <s v="ORD0379"/>
    <d v="2025-09-08T00:00:00"/>
    <x v="3"/>
    <s v="Office Supplies"/>
    <x v="0"/>
    <n v="1"/>
    <n v="1762"/>
    <n v="1762"/>
    <n v="440.34"/>
    <x v="0"/>
    <x v="12"/>
    <x v="1"/>
  </r>
  <r>
    <s v="ORD0380"/>
    <d v="2025-04-20T00:00:00"/>
    <x v="1"/>
    <s v="Furniture"/>
    <x v="2"/>
    <n v="5"/>
    <n v="4943"/>
    <n v="24715"/>
    <n v="5208.75"/>
    <x v="0"/>
    <x v="7"/>
    <x v="5"/>
  </r>
  <r>
    <s v="ORD0381"/>
    <d v="2025-07-25T00:00:00"/>
    <x v="0"/>
    <s v="Office Supplies"/>
    <x v="6"/>
    <n v="2"/>
    <n v="1053"/>
    <n v="2106"/>
    <n v="280.5"/>
    <x v="0"/>
    <x v="3"/>
    <x v="0"/>
  </r>
  <r>
    <s v="ORD0382"/>
    <d v="2025-02-23T00:00:00"/>
    <x v="2"/>
    <s v="Office Supplies"/>
    <x v="5"/>
    <n v="4"/>
    <n v="1227"/>
    <n v="4908"/>
    <n v="1073.79"/>
    <x v="0"/>
    <x v="5"/>
    <x v="5"/>
  </r>
  <r>
    <s v="ORD0383"/>
    <d v="2025-04-25T00:00:00"/>
    <x v="3"/>
    <s v="Furniture"/>
    <x v="1"/>
    <n v="9"/>
    <n v="3195"/>
    <n v="28755"/>
    <n v="4236.42"/>
    <x v="0"/>
    <x v="7"/>
    <x v="0"/>
  </r>
  <r>
    <s v="ORD0384"/>
    <d v="2025-07-23T00:00:00"/>
    <x v="3"/>
    <s v="Electronics"/>
    <x v="7"/>
    <n v="2"/>
    <n v="980"/>
    <n v="1960"/>
    <n v="330.78"/>
    <x v="0"/>
    <x v="3"/>
    <x v="6"/>
  </r>
  <r>
    <s v="ORD0385"/>
    <d v="2025-01-10T00:00:00"/>
    <x v="2"/>
    <s v="Furniture"/>
    <x v="1"/>
    <n v="8"/>
    <n v="1887"/>
    <n v="15096"/>
    <n v="2803.32"/>
    <x v="0"/>
    <x v="11"/>
    <x v="0"/>
  </r>
  <r>
    <s v="ORD0386"/>
    <d v="2025-11-17T00:00:00"/>
    <x v="0"/>
    <s v="Furniture"/>
    <x v="1"/>
    <n v="10"/>
    <n v="4457"/>
    <n v="44570"/>
    <n v="3896.56"/>
    <x v="0"/>
    <x v="10"/>
    <x v="1"/>
  </r>
  <r>
    <s v="ORD0387"/>
    <d v="2025-07-14T00:00:00"/>
    <x v="0"/>
    <s v="Office Supplies"/>
    <x v="6"/>
    <n v="6"/>
    <n v="3211"/>
    <n v="19266"/>
    <n v="4921.09"/>
    <x v="0"/>
    <x v="3"/>
    <x v="1"/>
  </r>
  <r>
    <s v="ORD0388"/>
    <d v="2025-09-21T00:00:00"/>
    <x v="1"/>
    <s v="Electronics"/>
    <x v="3"/>
    <n v="10"/>
    <n v="889"/>
    <n v="8890"/>
    <n v="1508.6"/>
    <x v="0"/>
    <x v="12"/>
    <x v="5"/>
  </r>
  <r>
    <s v="ORD0389"/>
    <d v="2025-07-07T00:00:00"/>
    <x v="1"/>
    <s v="Furniture"/>
    <x v="2"/>
    <n v="6"/>
    <n v="1677"/>
    <n v="10062"/>
    <n v="1327.17"/>
    <x v="0"/>
    <x v="3"/>
    <x v="1"/>
  </r>
  <r>
    <s v="ORD0390"/>
    <d v="2025-04-27T00:00:00"/>
    <x v="1"/>
    <s v="Electronics"/>
    <x v="7"/>
    <n v="2"/>
    <n v="3002"/>
    <n v="6004"/>
    <n v="879.51"/>
    <x v="0"/>
    <x v="7"/>
    <x v="5"/>
  </r>
  <r>
    <s v="ORD0391"/>
    <d v="2025-02-15T00:00:00"/>
    <x v="2"/>
    <s v="Office Supplies"/>
    <x v="6"/>
    <n v="6"/>
    <n v="3134"/>
    <n v="18804"/>
    <n v="3732.66"/>
    <x v="0"/>
    <x v="5"/>
    <x v="4"/>
  </r>
  <r>
    <s v="ORD0392"/>
    <d v="2025-01-02T00:00:00"/>
    <x v="3"/>
    <s v="Office Supplies"/>
    <x v="5"/>
    <n v="8"/>
    <n v="2543"/>
    <n v="20344"/>
    <n v="5830.26"/>
    <x v="0"/>
    <x v="11"/>
    <x v="2"/>
  </r>
  <r>
    <s v="ORD0393"/>
    <d v="2025-03-01T00:00:00"/>
    <x v="3"/>
    <s v="Electronics"/>
    <x v="4"/>
    <n v="4"/>
    <n v="3932"/>
    <n v="15728"/>
    <n v="2900.11"/>
    <x v="0"/>
    <x v="1"/>
    <x v="4"/>
  </r>
  <r>
    <s v="ORD0394"/>
    <d v="2025-07-16T00:00:00"/>
    <x v="3"/>
    <s v="Electronics"/>
    <x v="4"/>
    <n v="6"/>
    <n v="476"/>
    <n v="2856"/>
    <n v="326.76"/>
    <x v="0"/>
    <x v="3"/>
    <x v="6"/>
  </r>
  <r>
    <s v="ORD0395"/>
    <d v="2025-01-05T00:00:00"/>
    <x v="3"/>
    <s v="Furniture"/>
    <x v="1"/>
    <n v="9"/>
    <n v="1770"/>
    <n v="15930"/>
    <n v="2613.54"/>
    <x v="0"/>
    <x v="11"/>
    <x v="5"/>
  </r>
  <r>
    <s v="ORD0396"/>
    <d v="2025-08-04T00:00:00"/>
    <x v="2"/>
    <s v="Electronics"/>
    <x v="9"/>
    <n v="8"/>
    <n v="1018"/>
    <n v="8144"/>
    <n v="2075.89"/>
    <x v="0"/>
    <x v="9"/>
    <x v="1"/>
  </r>
  <r>
    <s v="ORD0397"/>
    <d v="2025-04-25T00:00:00"/>
    <x v="0"/>
    <s v="Office Supplies"/>
    <x v="5"/>
    <n v="3"/>
    <n v="714"/>
    <n v="2142"/>
    <n v="188.98"/>
    <x v="0"/>
    <x v="7"/>
    <x v="0"/>
  </r>
  <r>
    <s v="ORD0398"/>
    <d v="2025-01-28T00:00:00"/>
    <x v="1"/>
    <s v="Office Supplies"/>
    <x v="0"/>
    <n v="10"/>
    <n v="426"/>
    <n v="4260"/>
    <n v="651.44000000000005"/>
    <x v="0"/>
    <x v="11"/>
    <x v="3"/>
  </r>
  <r>
    <s v="ORD0399"/>
    <d v="2025-07-29T00:00:00"/>
    <x v="1"/>
    <s v="Office Supplies"/>
    <x v="5"/>
    <n v="9"/>
    <n v="4366"/>
    <n v="39294"/>
    <n v="10188.59"/>
    <x v="0"/>
    <x v="3"/>
    <x v="3"/>
  </r>
  <r>
    <s v="ORD0400"/>
    <d v="2025-07-10T00:00:00"/>
    <x v="2"/>
    <s v="Electronics"/>
    <x v="9"/>
    <n v="10"/>
    <n v="1578"/>
    <n v="15780"/>
    <n v="3634.12"/>
    <x v="0"/>
    <x v="3"/>
    <x v="2"/>
  </r>
  <r>
    <s v="ORD0401"/>
    <d v="2025-11-30T00:00:00"/>
    <x v="1"/>
    <s v="Electronics"/>
    <x v="7"/>
    <n v="8"/>
    <n v="4334"/>
    <n v="34672"/>
    <n v="4553.68"/>
    <x v="0"/>
    <x v="10"/>
    <x v="5"/>
  </r>
  <r>
    <s v="ORD0402"/>
    <d v="2025-08-29T00:00:00"/>
    <x v="0"/>
    <s v="Furniture"/>
    <x v="2"/>
    <n v="3"/>
    <n v="1046"/>
    <n v="3138"/>
    <n v="813.76"/>
    <x v="0"/>
    <x v="9"/>
    <x v="0"/>
  </r>
  <r>
    <s v="ORD0403"/>
    <d v="2025-07-01T00:00:00"/>
    <x v="3"/>
    <s v="Office Supplies"/>
    <x v="6"/>
    <n v="2"/>
    <n v="4182"/>
    <n v="8364"/>
    <n v="1510.93"/>
    <x v="0"/>
    <x v="3"/>
    <x v="3"/>
  </r>
  <r>
    <s v="ORD0404"/>
    <d v="2025-12-18T00:00:00"/>
    <x v="2"/>
    <s v="Electronics"/>
    <x v="7"/>
    <n v="3"/>
    <n v="4104"/>
    <n v="12312"/>
    <n v="3090.49"/>
    <x v="0"/>
    <x v="8"/>
    <x v="2"/>
  </r>
  <r>
    <s v="ORD0405"/>
    <d v="2025-05-05T00:00:00"/>
    <x v="2"/>
    <s v="Office Supplies"/>
    <x v="0"/>
    <n v="10"/>
    <n v="4057"/>
    <n v="40570"/>
    <n v="5874.73"/>
    <x v="0"/>
    <x v="2"/>
    <x v="1"/>
  </r>
  <r>
    <s v="ORD0406"/>
    <d v="2025-12-26T00:00:00"/>
    <x v="1"/>
    <s v="Electronics"/>
    <x v="4"/>
    <n v="9"/>
    <n v="4561"/>
    <n v="41049"/>
    <n v="10181.94"/>
    <x v="0"/>
    <x v="8"/>
    <x v="0"/>
  </r>
  <r>
    <s v="ORD0407"/>
    <d v="2025-06-13T00:00:00"/>
    <x v="3"/>
    <s v="Furniture"/>
    <x v="2"/>
    <n v="6"/>
    <n v="3573"/>
    <n v="21438"/>
    <n v="5577.97"/>
    <x v="0"/>
    <x v="6"/>
    <x v="0"/>
  </r>
  <r>
    <s v="ORD0408"/>
    <d v="2025-05-08T00:00:00"/>
    <x v="1"/>
    <s v="Furniture"/>
    <x v="1"/>
    <n v="4"/>
    <n v="2217"/>
    <n v="8868"/>
    <n v="2589.1999999999998"/>
    <x v="0"/>
    <x v="2"/>
    <x v="2"/>
  </r>
  <r>
    <s v="ORD0409"/>
    <d v="2025-04-14T00:00:00"/>
    <x v="1"/>
    <s v="Furniture"/>
    <x v="2"/>
    <n v="8"/>
    <n v="2016"/>
    <n v="16128"/>
    <n v="3084.87"/>
    <x v="0"/>
    <x v="7"/>
    <x v="1"/>
  </r>
  <r>
    <s v="ORD0410"/>
    <d v="2025-10-28T00:00:00"/>
    <x v="0"/>
    <s v="Furniture"/>
    <x v="2"/>
    <n v="2"/>
    <n v="4189"/>
    <n v="8378"/>
    <n v="1398.63"/>
    <x v="0"/>
    <x v="4"/>
    <x v="3"/>
  </r>
  <r>
    <s v="ORD0411"/>
    <d v="2025-05-12T00:00:00"/>
    <x v="1"/>
    <s v="Office Supplies"/>
    <x v="0"/>
    <n v="9"/>
    <n v="1784"/>
    <n v="16056"/>
    <n v="2035.91"/>
    <x v="0"/>
    <x v="2"/>
    <x v="1"/>
  </r>
  <r>
    <s v="ORD0412"/>
    <d v="2025-04-22T00:00:00"/>
    <x v="0"/>
    <s v="Furniture"/>
    <x v="2"/>
    <n v="10"/>
    <n v="2898"/>
    <n v="28980"/>
    <n v="3745.72"/>
    <x v="0"/>
    <x v="7"/>
    <x v="3"/>
  </r>
  <r>
    <s v="ORD0413"/>
    <d v="2025-06-13T00:00:00"/>
    <x v="2"/>
    <s v="Furniture"/>
    <x v="1"/>
    <n v="10"/>
    <n v="3484"/>
    <n v="34840"/>
    <n v="4593.22"/>
    <x v="0"/>
    <x v="6"/>
    <x v="0"/>
  </r>
  <r>
    <s v="ORD0414"/>
    <d v="2025-06-25T00:00:00"/>
    <x v="2"/>
    <s v="Electronics"/>
    <x v="3"/>
    <n v="5"/>
    <n v="741"/>
    <n v="3705"/>
    <n v="489.38"/>
    <x v="0"/>
    <x v="6"/>
    <x v="6"/>
  </r>
  <r>
    <s v="ORD0415"/>
    <d v="2025-09-08T00:00:00"/>
    <x v="0"/>
    <s v="Electronics"/>
    <x v="4"/>
    <n v="2"/>
    <n v="1603"/>
    <n v="3206"/>
    <n v="498.48"/>
    <x v="0"/>
    <x v="12"/>
    <x v="1"/>
  </r>
  <r>
    <s v="ORD0416"/>
    <d v="2025-01-05T00:00:00"/>
    <x v="0"/>
    <s v="Furniture"/>
    <x v="1"/>
    <n v="10"/>
    <n v="318"/>
    <n v="3180"/>
    <n v="616.07000000000005"/>
    <x v="0"/>
    <x v="11"/>
    <x v="5"/>
  </r>
  <r>
    <s v="ORD0417"/>
    <d v="2025-10-21T00:00:00"/>
    <x v="2"/>
    <s v="Electronics"/>
    <x v="3"/>
    <n v="10"/>
    <n v="2270"/>
    <n v="22700"/>
    <n v="4996.2299999999996"/>
    <x v="0"/>
    <x v="4"/>
    <x v="3"/>
  </r>
  <r>
    <s v="ORD0418"/>
    <d v="2025-08-23T00:00:00"/>
    <x v="3"/>
    <s v="Office Supplies"/>
    <x v="0"/>
    <n v="1"/>
    <n v="274"/>
    <n v="274"/>
    <n v="71.260000000000005"/>
    <x v="0"/>
    <x v="9"/>
    <x v="4"/>
  </r>
  <r>
    <s v="ORD0419"/>
    <d v="2025-08-26T00:00:00"/>
    <x v="3"/>
    <s v="Electronics"/>
    <x v="4"/>
    <n v="1"/>
    <n v="998"/>
    <n v="998"/>
    <n v="248.61"/>
    <x v="0"/>
    <x v="9"/>
    <x v="3"/>
  </r>
  <r>
    <s v="ORD0420"/>
    <d v="2025-10-31T00:00:00"/>
    <x v="0"/>
    <s v="Office Supplies"/>
    <x v="6"/>
    <n v="6"/>
    <n v="647"/>
    <n v="3882"/>
    <n v="721.99"/>
    <x v="0"/>
    <x v="4"/>
    <x v="0"/>
  </r>
  <r>
    <s v="ORD0421"/>
    <d v="2025-02-16T00:00:00"/>
    <x v="2"/>
    <s v="Furniture"/>
    <x v="2"/>
    <n v="8"/>
    <n v="568"/>
    <n v="4544"/>
    <n v="842.58"/>
    <x v="0"/>
    <x v="5"/>
    <x v="5"/>
  </r>
  <r>
    <s v="ORD0422"/>
    <d v="2025-04-08T00:00:00"/>
    <x v="3"/>
    <s v="Office Supplies"/>
    <x v="5"/>
    <n v="4"/>
    <n v="3575"/>
    <n v="14300"/>
    <n v="3571.56"/>
    <x v="0"/>
    <x v="7"/>
    <x v="3"/>
  </r>
  <r>
    <s v="ORD0423"/>
    <d v="2025-07-02T00:00:00"/>
    <x v="2"/>
    <s v="Furniture"/>
    <x v="8"/>
    <n v="5"/>
    <n v="2567"/>
    <n v="12835"/>
    <n v="1588.29"/>
    <x v="0"/>
    <x v="3"/>
    <x v="6"/>
  </r>
  <r>
    <s v="ORD0424"/>
    <d v="2025-09-13T00:00:00"/>
    <x v="1"/>
    <s v="Furniture"/>
    <x v="1"/>
    <n v="4"/>
    <n v="2171"/>
    <n v="8684"/>
    <n v="1870.13"/>
    <x v="0"/>
    <x v="12"/>
    <x v="4"/>
  </r>
  <r>
    <s v="ORD0425"/>
    <d v="2025-07-11T00:00:00"/>
    <x v="1"/>
    <s v="Electronics"/>
    <x v="7"/>
    <n v="1"/>
    <n v="768"/>
    <n v="768"/>
    <n v="225.24"/>
    <x v="0"/>
    <x v="3"/>
    <x v="0"/>
  </r>
  <r>
    <s v="ORD0426"/>
    <d v="2025-02-04T00:00:00"/>
    <x v="1"/>
    <s v="Electronics"/>
    <x v="3"/>
    <n v="10"/>
    <n v="4419"/>
    <n v="44190"/>
    <n v="7281.2"/>
    <x v="0"/>
    <x v="5"/>
    <x v="3"/>
  </r>
  <r>
    <s v="ORD0427"/>
    <d v="2025-02-03T00:00:00"/>
    <x v="0"/>
    <s v="Electronics"/>
    <x v="7"/>
    <n v="6"/>
    <n v="309"/>
    <n v="1854"/>
    <n v="164.02"/>
    <x v="0"/>
    <x v="5"/>
    <x v="1"/>
  </r>
  <r>
    <s v="ORD0428"/>
    <d v="2025-12-15T00:00:00"/>
    <x v="3"/>
    <s v="Furniture"/>
    <x v="1"/>
    <n v="2"/>
    <n v="887"/>
    <n v="1774"/>
    <n v="528.23"/>
    <x v="0"/>
    <x v="8"/>
    <x v="1"/>
  </r>
  <r>
    <s v="ORD0429"/>
    <d v="2025-12-31T00:00:00"/>
    <x v="3"/>
    <s v="Electronics"/>
    <x v="9"/>
    <n v="10"/>
    <n v="4728"/>
    <n v="47280"/>
    <n v="12332.18"/>
    <x v="0"/>
    <x v="8"/>
    <x v="6"/>
  </r>
  <r>
    <s v="ORD0430"/>
    <d v="2025-05-17T00:00:00"/>
    <x v="2"/>
    <s v="Electronics"/>
    <x v="9"/>
    <n v="5"/>
    <n v="4793"/>
    <n v="23965"/>
    <n v="5135.6400000000003"/>
    <x v="0"/>
    <x v="2"/>
    <x v="4"/>
  </r>
  <r>
    <s v="ORD0431"/>
    <d v="2025-01-11T00:00:00"/>
    <x v="0"/>
    <s v="Office Supplies"/>
    <x v="6"/>
    <n v="7"/>
    <n v="1340"/>
    <n v="9380"/>
    <n v="1168.77"/>
    <x v="0"/>
    <x v="11"/>
    <x v="4"/>
  </r>
  <r>
    <s v="ORD0432"/>
    <d v="2025-12-11T00:00:00"/>
    <x v="3"/>
    <s v="Electronics"/>
    <x v="4"/>
    <n v="3"/>
    <n v="117"/>
    <n v="351"/>
    <n v="78.33"/>
    <x v="0"/>
    <x v="8"/>
    <x v="2"/>
  </r>
  <r>
    <s v="ORD0433"/>
    <d v="2025-12-25T00:00:00"/>
    <x v="0"/>
    <s v="Electronics"/>
    <x v="7"/>
    <n v="5"/>
    <n v="975"/>
    <n v="4875"/>
    <n v="832.25"/>
    <x v="0"/>
    <x v="8"/>
    <x v="2"/>
  </r>
  <r>
    <s v="ORD0434"/>
    <d v="2025-12-11T00:00:00"/>
    <x v="1"/>
    <s v="Office Supplies"/>
    <x v="0"/>
    <n v="4"/>
    <n v="4258"/>
    <n v="17032"/>
    <n v="4920.0600000000004"/>
    <x v="0"/>
    <x v="8"/>
    <x v="2"/>
  </r>
  <r>
    <s v="ORD0435"/>
    <d v="2025-11-25T00:00:00"/>
    <x v="2"/>
    <s v="Electronics"/>
    <x v="3"/>
    <n v="10"/>
    <n v="2532"/>
    <n v="25320"/>
    <n v="2535.1"/>
    <x v="0"/>
    <x v="10"/>
    <x v="3"/>
  </r>
  <r>
    <s v="ORD0436"/>
    <d v="2025-01-21T00:00:00"/>
    <x v="2"/>
    <s v="Furniture"/>
    <x v="1"/>
    <n v="6"/>
    <n v="1114"/>
    <n v="6684"/>
    <n v="1681.69"/>
    <x v="0"/>
    <x v="11"/>
    <x v="3"/>
  </r>
  <r>
    <s v="ORD0437"/>
    <d v="2025-09-19T00:00:00"/>
    <x v="3"/>
    <s v="Electronics"/>
    <x v="3"/>
    <n v="7"/>
    <n v="4359"/>
    <n v="30513"/>
    <n v="6926.11"/>
    <x v="0"/>
    <x v="12"/>
    <x v="0"/>
  </r>
  <r>
    <s v="ORD0438"/>
    <d v="2025-08-30T00:00:00"/>
    <x v="0"/>
    <s v="Furniture"/>
    <x v="1"/>
    <n v="9"/>
    <n v="4091"/>
    <n v="36819"/>
    <n v="10007.4"/>
    <x v="0"/>
    <x v="9"/>
    <x v="4"/>
  </r>
  <r>
    <s v="ORD0439"/>
    <d v="2025-07-10T00:00:00"/>
    <x v="3"/>
    <s v="Office Supplies"/>
    <x v="6"/>
    <n v="10"/>
    <n v="240"/>
    <n v="2400"/>
    <n v="292.67"/>
    <x v="0"/>
    <x v="3"/>
    <x v="2"/>
  </r>
  <r>
    <s v="ORD0440"/>
    <d v="2025-06-10T00:00:00"/>
    <x v="1"/>
    <s v="Furniture"/>
    <x v="1"/>
    <n v="2"/>
    <n v="4905"/>
    <n v="9810"/>
    <n v="1853.35"/>
    <x v="0"/>
    <x v="6"/>
    <x v="3"/>
  </r>
  <r>
    <s v="ORD0441"/>
    <d v="2025-11-13T00:00:00"/>
    <x v="0"/>
    <s v="Electronics"/>
    <x v="7"/>
    <n v="3"/>
    <n v="2385"/>
    <n v="7155"/>
    <n v="1715.62"/>
    <x v="0"/>
    <x v="10"/>
    <x v="2"/>
  </r>
  <r>
    <s v="ORD0442"/>
    <d v="2025-08-19T00:00:00"/>
    <x v="0"/>
    <s v="Furniture"/>
    <x v="8"/>
    <n v="7"/>
    <n v="4512"/>
    <n v="31584"/>
    <n v="8089.25"/>
    <x v="0"/>
    <x v="9"/>
    <x v="3"/>
  </r>
  <r>
    <s v="ORD0443"/>
    <d v="2025-02-02T00:00:00"/>
    <x v="0"/>
    <s v="Furniture"/>
    <x v="2"/>
    <n v="3"/>
    <n v="584"/>
    <n v="1752"/>
    <n v="365.28"/>
    <x v="0"/>
    <x v="5"/>
    <x v="5"/>
  </r>
  <r>
    <s v="ORD0444"/>
    <d v="2025-09-16T00:00:00"/>
    <x v="3"/>
    <s v="Furniture"/>
    <x v="1"/>
    <n v="6"/>
    <n v="746"/>
    <n v="4476"/>
    <n v="1279.5999999999999"/>
    <x v="0"/>
    <x v="12"/>
    <x v="3"/>
  </r>
  <r>
    <s v="ORD0445"/>
    <d v="2025-03-04T00:00:00"/>
    <x v="0"/>
    <s v="Office Supplies"/>
    <x v="6"/>
    <n v="6"/>
    <n v="2732"/>
    <n v="16392"/>
    <n v="1905.18"/>
    <x v="0"/>
    <x v="1"/>
    <x v="3"/>
  </r>
  <r>
    <s v="ORD0446"/>
    <d v="2025-10-11T00:00:00"/>
    <x v="2"/>
    <s v="Furniture"/>
    <x v="1"/>
    <n v="2"/>
    <n v="1296"/>
    <n v="2592"/>
    <n v="547.37"/>
    <x v="0"/>
    <x v="4"/>
    <x v="4"/>
  </r>
  <r>
    <s v="ORD0447"/>
    <d v="2025-10-07T00:00:00"/>
    <x v="1"/>
    <s v="Office Supplies"/>
    <x v="6"/>
    <n v="10"/>
    <n v="3278"/>
    <n v="32780"/>
    <n v="8255.32"/>
    <x v="0"/>
    <x v="4"/>
    <x v="3"/>
  </r>
  <r>
    <s v="ORD0448"/>
    <d v="2025-12-26T00:00:00"/>
    <x v="2"/>
    <s v="Office Supplies"/>
    <x v="5"/>
    <n v="4"/>
    <n v="3406"/>
    <n v="13624"/>
    <n v="2516.62"/>
    <x v="0"/>
    <x v="8"/>
    <x v="0"/>
  </r>
  <r>
    <s v="ORD0449"/>
    <d v="2025-11-21T00:00:00"/>
    <x v="2"/>
    <s v="Office Supplies"/>
    <x v="6"/>
    <n v="10"/>
    <n v="1802"/>
    <n v="18020"/>
    <n v="2340.09"/>
    <x v="0"/>
    <x v="10"/>
    <x v="0"/>
  </r>
  <r>
    <s v="ORD0450"/>
    <d v="2025-10-03T00:00:00"/>
    <x v="3"/>
    <s v="Electronics"/>
    <x v="4"/>
    <n v="10"/>
    <n v="3602"/>
    <n v="36020"/>
    <n v="9016.8799999999992"/>
    <x v="0"/>
    <x v="4"/>
    <x v="0"/>
  </r>
  <r>
    <s v="ORD0451"/>
    <d v="2025-07-30T00:00:00"/>
    <x v="3"/>
    <s v="Office Supplies"/>
    <x v="0"/>
    <n v="10"/>
    <n v="4907"/>
    <n v="49070"/>
    <n v="6064.08"/>
    <x v="0"/>
    <x v="3"/>
    <x v="6"/>
  </r>
  <r>
    <s v="ORD0452"/>
    <d v="2025-07-11T00:00:00"/>
    <x v="1"/>
    <s v="Furniture"/>
    <x v="2"/>
    <n v="4"/>
    <n v="1931"/>
    <n v="7724"/>
    <n v="1639.01"/>
    <x v="0"/>
    <x v="3"/>
    <x v="0"/>
  </r>
  <r>
    <s v="ORD0453"/>
    <d v="2025-07-28T00:00:00"/>
    <x v="3"/>
    <s v="Electronics"/>
    <x v="9"/>
    <n v="6"/>
    <n v="3377"/>
    <n v="20262"/>
    <n v="5667.98"/>
    <x v="0"/>
    <x v="3"/>
    <x v="1"/>
  </r>
  <r>
    <s v="ORD0454"/>
    <d v="2025-11-06T00:00:00"/>
    <x v="3"/>
    <s v="Office Supplies"/>
    <x v="6"/>
    <n v="8"/>
    <n v="3212"/>
    <n v="25696"/>
    <n v="4800.83"/>
    <x v="0"/>
    <x v="10"/>
    <x v="2"/>
  </r>
  <r>
    <s v="ORD0455"/>
    <d v="2025-06-18T00:00:00"/>
    <x v="0"/>
    <s v="Electronics"/>
    <x v="9"/>
    <n v="2"/>
    <n v="4541"/>
    <n v="9082"/>
    <n v="1049.21"/>
    <x v="0"/>
    <x v="6"/>
    <x v="6"/>
  </r>
  <r>
    <s v="ORD0456"/>
    <d v="2025-07-22T00:00:00"/>
    <x v="2"/>
    <s v="Furniture"/>
    <x v="1"/>
    <n v="4"/>
    <n v="2570"/>
    <n v="10280"/>
    <n v="2475.04"/>
    <x v="0"/>
    <x v="3"/>
    <x v="3"/>
  </r>
  <r>
    <s v="ORD0457"/>
    <d v="2025-12-27T00:00:00"/>
    <x v="1"/>
    <s v="Furniture"/>
    <x v="8"/>
    <n v="1"/>
    <n v="4750"/>
    <n v="4750"/>
    <n v="493.03"/>
    <x v="0"/>
    <x v="8"/>
    <x v="4"/>
  </r>
  <r>
    <s v="ORD0458"/>
    <d v="2025-12-19T00:00:00"/>
    <x v="1"/>
    <s v="Electronics"/>
    <x v="4"/>
    <n v="8"/>
    <n v="294"/>
    <n v="2352"/>
    <n v="479.14"/>
    <x v="0"/>
    <x v="8"/>
    <x v="0"/>
  </r>
  <r>
    <s v="ORD0459"/>
    <d v="2025-03-09T00:00:00"/>
    <x v="0"/>
    <s v="Office Supplies"/>
    <x v="6"/>
    <n v="7"/>
    <n v="4162"/>
    <n v="29134"/>
    <n v="7973.97"/>
    <x v="0"/>
    <x v="1"/>
    <x v="5"/>
  </r>
  <r>
    <s v="ORD0460"/>
    <d v="2025-12-08T00:00:00"/>
    <x v="1"/>
    <s v="Office Supplies"/>
    <x v="0"/>
    <n v="3"/>
    <n v="3171"/>
    <n v="9513"/>
    <n v="1755.37"/>
    <x v="0"/>
    <x v="8"/>
    <x v="1"/>
  </r>
  <r>
    <s v="ORD0461"/>
    <d v="2025-07-02T00:00:00"/>
    <x v="2"/>
    <s v="Furniture"/>
    <x v="2"/>
    <n v="8"/>
    <n v="3855"/>
    <n v="30840"/>
    <n v="5893.3"/>
    <x v="0"/>
    <x v="3"/>
    <x v="6"/>
  </r>
  <r>
    <s v="ORD0462"/>
    <d v="2025-10-15T00:00:00"/>
    <x v="0"/>
    <s v="Office Supplies"/>
    <x v="6"/>
    <n v="6"/>
    <n v="2128"/>
    <n v="12768"/>
    <n v="3024.33"/>
    <x v="0"/>
    <x v="4"/>
    <x v="6"/>
  </r>
  <r>
    <s v="ORD0463"/>
    <d v="2025-07-29T00:00:00"/>
    <x v="1"/>
    <s v="Furniture"/>
    <x v="2"/>
    <n v="4"/>
    <n v="3345"/>
    <n v="13380"/>
    <n v="2061.06"/>
    <x v="0"/>
    <x v="3"/>
    <x v="3"/>
  </r>
  <r>
    <s v="ORD0464"/>
    <d v="2025-05-23T00:00:00"/>
    <x v="1"/>
    <s v="Office Supplies"/>
    <x v="5"/>
    <n v="5"/>
    <n v="1587"/>
    <n v="7935"/>
    <n v="1284.6199999999999"/>
    <x v="0"/>
    <x v="2"/>
    <x v="0"/>
  </r>
  <r>
    <s v="ORD0465"/>
    <d v="2025-12-27T00:00:00"/>
    <x v="1"/>
    <s v="Office Supplies"/>
    <x v="0"/>
    <n v="2"/>
    <n v="662"/>
    <n v="1324"/>
    <n v="190.12"/>
    <x v="0"/>
    <x v="8"/>
    <x v="4"/>
  </r>
  <r>
    <s v="ORD0466"/>
    <d v="2025-06-04T00:00:00"/>
    <x v="0"/>
    <s v="Electronics"/>
    <x v="3"/>
    <n v="2"/>
    <n v="3251"/>
    <n v="6502"/>
    <n v="682.21"/>
    <x v="0"/>
    <x v="6"/>
    <x v="6"/>
  </r>
  <r>
    <s v="ORD0467"/>
    <d v="2025-04-04T00:00:00"/>
    <x v="2"/>
    <s v="Office Supplies"/>
    <x v="6"/>
    <n v="7"/>
    <n v="3802"/>
    <n v="26614"/>
    <n v="2280.85"/>
    <x v="0"/>
    <x v="7"/>
    <x v="0"/>
  </r>
  <r>
    <s v="ORD0468"/>
    <d v="2025-10-27T00:00:00"/>
    <x v="3"/>
    <s v="Furniture"/>
    <x v="1"/>
    <n v="3"/>
    <n v="4715"/>
    <n v="14145"/>
    <n v="1513"/>
    <x v="0"/>
    <x v="4"/>
    <x v="1"/>
  </r>
  <r>
    <s v="ORD0469"/>
    <d v="2025-10-25T00:00:00"/>
    <x v="3"/>
    <s v="Furniture"/>
    <x v="8"/>
    <n v="3"/>
    <n v="4451"/>
    <n v="13353"/>
    <n v="2897.58"/>
    <x v="0"/>
    <x v="4"/>
    <x v="4"/>
  </r>
  <r>
    <s v="ORD0470"/>
    <d v="2025-12-27T00:00:00"/>
    <x v="2"/>
    <s v="Electronics"/>
    <x v="3"/>
    <n v="5"/>
    <n v="1449"/>
    <n v="7245"/>
    <n v="1116.6300000000001"/>
    <x v="0"/>
    <x v="8"/>
    <x v="4"/>
  </r>
  <r>
    <s v="ORD0471"/>
    <d v="2025-04-12T00:00:00"/>
    <x v="3"/>
    <s v="Electronics"/>
    <x v="3"/>
    <n v="1"/>
    <n v="1467"/>
    <n v="1467"/>
    <n v="193.48"/>
    <x v="0"/>
    <x v="7"/>
    <x v="4"/>
  </r>
  <r>
    <s v="ORD0472"/>
    <d v="2025-10-12T00:00:00"/>
    <x v="1"/>
    <s v="Office Supplies"/>
    <x v="6"/>
    <n v="6"/>
    <n v="2932"/>
    <n v="17592"/>
    <n v="4085.07"/>
    <x v="0"/>
    <x v="4"/>
    <x v="5"/>
  </r>
  <r>
    <s v="ORD0473"/>
    <d v="2025-01-02T00:00:00"/>
    <x v="1"/>
    <s v="Electronics"/>
    <x v="9"/>
    <n v="3"/>
    <n v="1451"/>
    <n v="4353"/>
    <n v="911.19"/>
    <x v="0"/>
    <x v="11"/>
    <x v="2"/>
  </r>
  <r>
    <s v="ORD0474"/>
    <d v="2025-01-10T00:00:00"/>
    <x v="2"/>
    <s v="Electronics"/>
    <x v="9"/>
    <n v="9"/>
    <n v="3723"/>
    <n v="33507"/>
    <n v="9590.64"/>
    <x v="0"/>
    <x v="11"/>
    <x v="0"/>
  </r>
  <r>
    <s v="ORD0475"/>
    <d v="2025-02-14T00:00:00"/>
    <x v="0"/>
    <s v="Office Supplies"/>
    <x v="5"/>
    <n v="5"/>
    <n v="2476"/>
    <n v="12380"/>
    <n v="3046.01"/>
    <x v="0"/>
    <x v="5"/>
    <x v="0"/>
  </r>
  <r>
    <s v="ORD0476"/>
    <d v="2025-09-28T00:00:00"/>
    <x v="0"/>
    <s v="Office Supplies"/>
    <x v="6"/>
    <n v="4"/>
    <n v="2708"/>
    <n v="10832"/>
    <n v="2294.87"/>
    <x v="0"/>
    <x v="12"/>
    <x v="5"/>
  </r>
  <r>
    <s v="ORD0477"/>
    <d v="2025-06-26T00:00:00"/>
    <x v="3"/>
    <s v="Office Supplies"/>
    <x v="6"/>
    <n v="9"/>
    <n v="1844"/>
    <n v="16596"/>
    <n v="1717.5"/>
    <x v="0"/>
    <x v="6"/>
    <x v="2"/>
  </r>
  <r>
    <s v="ORD0478"/>
    <d v="2025-02-10T00:00:00"/>
    <x v="0"/>
    <s v="Office Supplies"/>
    <x v="0"/>
    <n v="5"/>
    <n v="2717"/>
    <n v="13585"/>
    <n v="3083.51"/>
    <x v="0"/>
    <x v="5"/>
    <x v="1"/>
  </r>
  <r>
    <s v="ORD0479"/>
    <d v="2025-12-22T00:00:00"/>
    <x v="1"/>
    <s v="Office Supplies"/>
    <x v="6"/>
    <n v="1"/>
    <n v="838"/>
    <n v="838"/>
    <n v="248.78"/>
    <x v="0"/>
    <x v="8"/>
    <x v="1"/>
  </r>
  <r>
    <s v="ORD0480"/>
    <d v="2025-01-21T00:00:00"/>
    <x v="1"/>
    <s v="Electronics"/>
    <x v="7"/>
    <n v="2"/>
    <n v="521"/>
    <n v="1042"/>
    <n v="228.33"/>
    <x v="0"/>
    <x v="11"/>
    <x v="3"/>
  </r>
  <r>
    <s v="ORD0481"/>
    <d v="2025-08-27T00:00:00"/>
    <x v="3"/>
    <s v="Office Supplies"/>
    <x v="5"/>
    <n v="5"/>
    <n v="3894"/>
    <n v="19470"/>
    <n v="1864.83"/>
    <x v="0"/>
    <x v="9"/>
    <x v="6"/>
  </r>
  <r>
    <s v="ORD0482"/>
    <d v="2025-01-23T00:00:00"/>
    <x v="1"/>
    <s v="Electronics"/>
    <x v="4"/>
    <n v="2"/>
    <n v="1466"/>
    <n v="2932"/>
    <n v="606.51"/>
    <x v="0"/>
    <x v="11"/>
    <x v="2"/>
  </r>
  <r>
    <s v="ORD0483"/>
    <d v="2025-08-15T00:00:00"/>
    <x v="0"/>
    <s v="Electronics"/>
    <x v="9"/>
    <n v="4"/>
    <n v="3985"/>
    <n v="15940"/>
    <n v="3188.67"/>
    <x v="0"/>
    <x v="9"/>
    <x v="0"/>
  </r>
  <r>
    <s v="ORD0484"/>
    <d v="2025-11-05T00:00:00"/>
    <x v="2"/>
    <s v="Furniture"/>
    <x v="2"/>
    <n v="9"/>
    <n v="4052"/>
    <n v="36468"/>
    <n v="5338.15"/>
    <x v="0"/>
    <x v="10"/>
    <x v="6"/>
  </r>
  <r>
    <s v="ORD0485"/>
    <d v="2025-04-23T00:00:00"/>
    <x v="0"/>
    <s v="Office Supplies"/>
    <x v="5"/>
    <n v="9"/>
    <n v="3544"/>
    <n v="31896"/>
    <n v="6729.8"/>
    <x v="0"/>
    <x v="7"/>
    <x v="6"/>
  </r>
  <r>
    <s v="ORD0486"/>
    <d v="2025-09-09T00:00:00"/>
    <x v="0"/>
    <s v="Electronics"/>
    <x v="3"/>
    <n v="6"/>
    <n v="1587"/>
    <n v="9522"/>
    <n v="1174.3699999999999"/>
    <x v="0"/>
    <x v="12"/>
    <x v="3"/>
  </r>
  <r>
    <s v="ORD0487"/>
    <d v="2025-04-10T00:00:00"/>
    <x v="3"/>
    <s v="Office Supplies"/>
    <x v="0"/>
    <n v="4"/>
    <n v="2150"/>
    <n v="8600"/>
    <n v="920.28"/>
    <x v="0"/>
    <x v="7"/>
    <x v="2"/>
  </r>
  <r>
    <s v="ORD0488"/>
    <d v="2025-10-24T00:00:00"/>
    <x v="3"/>
    <s v="Furniture"/>
    <x v="1"/>
    <n v="2"/>
    <n v="684"/>
    <n v="1368"/>
    <n v="383.62"/>
    <x v="0"/>
    <x v="4"/>
    <x v="0"/>
  </r>
  <r>
    <s v="ORD0489"/>
    <d v="2025-05-15T00:00:00"/>
    <x v="1"/>
    <s v="Electronics"/>
    <x v="4"/>
    <n v="2"/>
    <n v="3635"/>
    <n v="7270"/>
    <n v="1035.21"/>
    <x v="0"/>
    <x v="2"/>
    <x v="2"/>
  </r>
  <r>
    <s v="ORD0490"/>
    <d v="2025-08-02T00:00:00"/>
    <x v="2"/>
    <s v="Furniture"/>
    <x v="2"/>
    <n v="3"/>
    <n v="981"/>
    <n v="2943"/>
    <n v="493.24"/>
    <x v="0"/>
    <x v="9"/>
    <x v="4"/>
  </r>
  <r>
    <s v="ORD0491"/>
    <d v="2025-12-20T00:00:00"/>
    <x v="3"/>
    <s v="Furniture"/>
    <x v="1"/>
    <n v="8"/>
    <n v="3649"/>
    <n v="29192"/>
    <n v="8343.7199999999993"/>
    <x v="0"/>
    <x v="8"/>
    <x v="4"/>
  </r>
  <r>
    <s v="ORD0492"/>
    <d v="2025-07-26T00:00:00"/>
    <x v="0"/>
    <s v="Office Supplies"/>
    <x v="0"/>
    <n v="10"/>
    <n v="4167"/>
    <n v="41670"/>
    <n v="5801.36"/>
    <x v="0"/>
    <x v="3"/>
    <x v="4"/>
  </r>
  <r>
    <s v="ORD0493"/>
    <d v="2025-11-21T00:00:00"/>
    <x v="3"/>
    <s v="Electronics"/>
    <x v="9"/>
    <n v="5"/>
    <n v="4885"/>
    <n v="24425"/>
    <n v="2573.77"/>
    <x v="0"/>
    <x v="10"/>
    <x v="0"/>
  </r>
  <r>
    <s v="ORD0494"/>
    <d v="2025-09-23T00:00:00"/>
    <x v="2"/>
    <s v="Furniture"/>
    <x v="2"/>
    <n v="2"/>
    <n v="919"/>
    <n v="1838"/>
    <n v="363.79"/>
    <x v="0"/>
    <x v="12"/>
    <x v="3"/>
  </r>
  <r>
    <s v="ORD0495"/>
    <d v="2025-06-10T00:00:00"/>
    <x v="0"/>
    <s v="Furniture"/>
    <x v="8"/>
    <n v="4"/>
    <n v="972"/>
    <n v="3888"/>
    <n v="1147.1199999999999"/>
    <x v="0"/>
    <x v="6"/>
    <x v="3"/>
  </r>
  <r>
    <s v="ORD0496"/>
    <d v="2025-04-01T00:00:00"/>
    <x v="3"/>
    <s v="Electronics"/>
    <x v="7"/>
    <n v="6"/>
    <n v="326"/>
    <n v="1956"/>
    <n v="267.66000000000003"/>
    <x v="0"/>
    <x v="7"/>
    <x v="3"/>
  </r>
  <r>
    <s v="ORD0497"/>
    <d v="2025-06-15T00:00:00"/>
    <x v="3"/>
    <s v="Electronics"/>
    <x v="9"/>
    <n v="1"/>
    <n v="2277"/>
    <n v="2277"/>
    <n v="353.49"/>
    <x v="0"/>
    <x v="6"/>
    <x v="5"/>
  </r>
  <r>
    <s v="ORD0498"/>
    <d v="2025-01-11T00:00:00"/>
    <x v="3"/>
    <s v="Furniture"/>
    <x v="8"/>
    <n v="1"/>
    <n v="1714"/>
    <n v="1714"/>
    <n v="442.38"/>
    <x v="0"/>
    <x v="11"/>
    <x v="4"/>
  </r>
  <r>
    <s v="ORD0499"/>
    <d v="2025-04-08T00:00:00"/>
    <x v="0"/>
    <s v="Electronics"/>
    <x v="9"/>
    <n v="9"/>
    <n v="4350"/>
    <n v="39150"/>
    <n v="3429.11"/>
    <x v="0"/>
    <x v="7"/>
    <x v="3"/>
  </r>
  <r>
    <s v="ORD0500"/>
    <d v="2025-02-11T00:00:00"/>
    <x v="2"/>
    <s v="Furniture"/>
    <x v="2"/>
    <n v="10"/>
    <n v="3359"/>
    <n v="33590"/>
    <n v="6217.3"/>
    <x v="0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Y3:Z14" firstHeaderRow="1" firstDataRow="1" firstDataCol="1"/>
  <pivotFields count="12">
    <pivotField showAll="0"/>
    <pivotField numFmtId="164" showAll="0"/>
    <pivotField showAll="0">
      <items count="5">
        <item x="3"/>
        <item x="2"/>
        <item x="1"/>
        <item x="0"/>
        <item t="default"/>
      </items>
    </pivotField>
    <pivotField showAll="0"/>
    <pivotField axis="axisRow" showAll="0">
      <items count="11">
        <item x="8"/>
        <item x="2"/>
        <item x="1"/>
        <item x="7"/>
        <item x="9"/>
        <item x="3"/>
        <item x="4"/>
        <item x="5"/>
        <item x="6"/>
        <item x="0"/>
        <item t="default"/>
      </items>
    </pivotField>
    <pivotField showAll="0"/>
    <pivotField showAll="0"/>
    <pivotField showAll="0"/>
    <pivotField dataField="1" showAll="0"/>
    <pivotField showAll="0">
      <items count="2">
        <item x="0"/>
        <item t="default"/>
      </items>
    </pivotField>
    <pivotField showAll="0">
      <items count="14">
        <item x="11"/>
        <item x="5"/>
        <item x="1"/>
        <item x="7"/>
        <item x="2"/>
        <item x="6"/>
        <item x="3"/>
        <item x="9"/>
        <item x="12"/>
        <item x="4"/>
        <item x="10"/>
        <item x="8"/>
        <item x="0"/>
        <item t="default"/>
      </items>
    </pivotField>
    <pivotField showAll="0">
      <items count="8">
        <item x="1"/>
        <item x="3"/>
        <item x="6"/>
        <item x="2"/>
        <item x="0"/>
        <item x="4"/>
        <item x="5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8" baseField="0" baseItem="0"/>
  </dataFields>
  <chartFormats count="5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U3:W18" firstHeaderRow="1" firstDataRow="2" firstDataCol="1"/>
  <pivotFields count="12">
    <pivotField showAll="0"/>
    <pivotField numFmtId="164" showAll="0"/>
    <pivotField showAll="0">
      <items count="5">
        <item x="3"/>
        <item x="2"/>
        <item x="1"/>
        <item x="0"/>
        <item t="default"/>
      </items>
    </pivotField>
    <pivotField showAll="0"/>
    <pivotField showAll="0">
      <items count="11">
        <item x="8"/>
        <item x="2"/>
        <item x="1"/>
        <item x="7"/>
        <item x="9"/>
        <item x="3"/>
        <item x="4"/>
        <item x="5"/>
        <item x="6"/>
        <item x="0"/>
        <item t="default"/>
      </items>
    </pivotField>
    <pivotField showAll="0"/>
    <pivotField showAll="0"/>
    <pivotField showAll="0"/>
    <pivotField showAll="0"/>
    <pivotField axis="axisCol" dataField="1" showAll="0">
      <items count="2">
        <item x="0"/>
        <item t="default"/>
      </items>
    </pivotField>
    <pivotField axis="axisRow" showAll="0">
      <items count="14">
        <item x="11"/>
        <item x="5"/>
        <item x="1"/>
        <item x="7"/>
        <item x="2"/>
        <item x="6"/>
        <item x="3"/>
        <item x="9"/>
        <item x="12"/>
        <item x="4"/>
        <item x="10"/>
        <item x="8"/>
        <item x="0"/>
        <item t="default"/>
      </items>
    </pivotField>
    <pivotField showAll="0">
      <items count="8">
        <item x="1"/>
        <item x="3"/>
        <item x="6"/>
        <item x="2"/>
        <item x="0"/>
        <item x="4"/>
        <item x="5"/>
        <item t="default"/>
      </items>
    </pivotField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2">
    <i>
      <x/>
    </i>
    <i t="grand">
      <x/>
    </i>
  </colItems>
  <dataFields count="1">
    <dataField name="Sum of year" fld="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12">
    <pivotField showAll="0"/>
    <pivotField numFmtId="164" showAll="0"/>
    <pivotField showAll="0"/>
    <pivotField showAll="0"/>
    <pivotField axis="axisRow" showAll="0">
      <items count="11">
        <item x="8"/>
        <item x="2"/>
        <item x="1"/>
        <item x="7"/>
        <item x="9"/>
        <item x="3"/>
        <item x="4"/>
        <item x="5"/>
        <item x="6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QTY 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D2:E13" firstHeaderRow="1" firstDataRow="1" firstDataCol="1"/>
  <pivotFields count="12">
    <pivotField showAll="0"/>
    <pivotField numFmtId="164" showAll="0"/>
    <pivotField showAll="0"/>
    <pivotField showAll="0"/>
    <pivotField axis="axisRow" showAll="0">
      <items count="11">
        <item x="8"/>
        <item x="2"/>
        <item x="1"/>
        <item x="7"/>
        <item x="9"/>
        <item x="3"/>
        <item x="4"/>
        <item x="5"/>
        <item x="6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7" baseField="0" baseItem="0"/>
  </dataField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O3:P8" firstHeaderRow="1" firstDataRow="1" firstDataCol="1"/>
  <pivotFields count="12">
    <pivotField showAll="0"/>
    <pivotField numFmtId="164"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>
      <items count="11">
        <item x="8"/>
        <item x="2"/>
        <item x="1"/>
        <item x="7"/>
        <item x="9"/>
        <item x="3"/>
        <item x="4"/>
        <item x="5"/>
        <item x="6"/>
        <item x="0"/>
        <item t="default"/>
      </items>
    </pivotField>
    <pivotField showAll="0"/>
    <pivotField showAll="0"/>
    <pivotField dataField="1" showAll="0"/>
    <pivotField showAll="0"/>
    <pivotField showAll="0">
      <items count="2">
        <item x="0"/>
        <item t="default"/>
      </items>
    </pivotField>
    <pivotField showAll="0">
      <items count="14">
        <item x="11"/>
        <item x="5"/>
        <item x="1"/>
        <item x="7"/>
        <item x="2"/>
        <item x="6"/>
        <item x="3"/>
        <item x="9"/>
        <item x="12"/>
        <item x="4"/>
        <item x="10"/>
        <item x="8"/>
        <item x="0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K2:M17" firstHeaderRow="0" firstDataRow="1" firstDataCol="1"/>
  <pivotFields count="12">
    <pivotField showAll="0"/>
    <pivotField numFmtId="164" showAll="0"/>
    <pivotField showAll="0"/>
    <pivotField showAll="0"/>
    <pivotField showAll="0">
      <items count="11">
        <item x="8"/>
        <item x="2"/>
        <item x="1"/>
        <item x="7"/>
        <item x="9"/>
        <item x="3"/>
        <item x="4"/>
        <item x="5"/>
        <item x="6"/>
        <item x="0"/>
        <item t="default"/>
      </items>
    </pivotField>
    <pivotField showAll="0"/>
    <pivotField showAll="0"/>
    <pivotField dataField="1" showAll="0"/>
    <pivotField dataField="1" showAll="0"/>
    <pivotField axis="axisRow" showAll="0">
      <items count="2">
        <item x="0"/>
        <item t="default"/>
      </items>
    </pivotField>
    <pivotField axis="axisRow" showAll="0">
      <items count="14">
        <item x="11"/>
        <item x="5"/>
        <item x="1"/>
        <item x="7"/>
        <item x="2"/>
        <item x="6"/>
        <item x="3"/>
        <item x="9"/>
        <item x="12"/>
        <item x="4"/>
        <item x="10"/>
        <item x="8"/>
        <item x="0"/>
        <item t="default"/>
      </items>
    </pivotField>
    <pivotField showAll="0"/>
  </pivotFields>
  <rowFields count="2">
    <field x="9"/>
    <field x="10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7" baseField="0" baseItem="0"/>
    <dataField name="Sum of Profit" fld="8" baseField="0" baseItem="0"/>
  </dataFields>
  <formats count="2">
    <format dxfId="5">
      <pivotArea outline="0" collapsedLevelsAreSubtotals="1" fieldPosition="0"/>
    </format>
    <format dxfId="4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H3:I5" firstHeaderRow="1" firstDataRow="1" firstDataCol="1"/>
  <pivotFields count="12">
    <pivotField showAll="0"/>
    <pivotField numFmtId="164" showAll="0"/>
    <pivotField showAll="0"/>
    <pivotField showAll="0"/>
    <pivotField showAll="0">
      <items count="11">
        <item x="8"/>
        <item x="2"/>
        <item x="1"/>
        <item x="7"/>
        <item x="9"/>
        <item x="3"/>
        <item x="4"/>
        <item x="5"/>
        <item x="6"/>
        <item x="0"/>
        <item t="default"/>
      </items>
    </pivotField>
    <pivotField showAll="0"/>
    <pivotField showAll="0"/>
    <pivotField dataField="1" showAll="0"/>
    <pivotField showAll="0"/>
    <pivotField axis="axisRow" showAll="0">
      <items count="2">
        <item x="0"/>
        <item t="default"/>
      </items>
    </pivotField>
    <pivotField showAll="0"/>
    <pivotField showAll="0"/>
  </pivotFields>
  <rowFields count="1">
    <field x="9"/>
  </rowFields>
  <rowItems count="2">
    <i>
      <x/>
    </i>
    <i t="grand">
      <x/>
    </i>
  </rowItems>
  <colItems count="1">
    <i/>
  </colItems>
  <dataFields count="1">
    <dataField name="Sum of Revenue" fld="7" baseField="0" baseItem="0"/>
  </dataFields>
  <chartFormats count="8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R2:S10" firstHeaderRow="1" firstDataRow="1" firstDataCol="1"/>
  <pivotFields count="12">
    <pivotField showAll="0"/>
    <pivotField numFmtId="164" showAll="0"/>
    <pivotField showAll="0">
      <items count="5">
        <item x="3"/>
        <item x="2"/>
        <item x="1"/>
        <item x="0"/>
        <item t="default"/>
      </items>
    </pivotField>
    <pivotField showAll="0"/>
    <pivotField dataField="1" showAll="0">
      <items count="11">
        <item x="8"/>
        <item x="2"/>
        <item x="1"/>
        <item x="7"/>
        <item x="9"/>
        <item x="3"/>
        <item x="4"/>
        <item x="5"/>
        <item x="6"/>
        <item x="0"/>
        <item t="default"/>
      </items>
    </pivotField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14">
        <item x="11"/>
        <item x="5"/>
        <item x="1"/>
        <item x="7"/>
        <item x="2"/>
        <item x="6"/>
        <item x="3"/>
        <item x="9"/>
        <item x="12"/>
        <item x="4"/>
        <item x="10"/>
        <item x="8"/>
        <item x="0"/>
        <item t="default"/>
      </items>
    </pivotField>
    <pivotField axis="axisRow" showAll="0">
      <items count="8">
        <item x="1"/>
        <item x="3"/>
        <item x="6"/>
        <item x="2"/>
        <item x="0"/>
        <item x="4"/>
        <item x="5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4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L50" totalsRowShown="0">
  <autoFilter ref="A1:L50"/>
  <tableColumns count="12">
    <tableColumn id="1" name=" Order"/>
    <tableColumn id="2" name="OrderDate" dataDxfId="6"/>
    <tableColumn id="3" name="Region"/>
    <tableColumn id="4" name="Category"/>
    <tableColumn id="5" name="Product"/>
    <tableColumn id="6" name="Quantity"/>
    <tableColumn id="7" name="UnitPrice"/>
    <tableColumn id="8" name="Revenue"/>
    <tableColumn id="9" name="Profit"/>
    <tableColumn id="10" name="year"/>
    <tableColumn id="11" name="month"/>
    <tableColumn id="12" name="weekDa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L501" totalsRowShown="0">
  <autoFilter ref="A1:L501"/>
  <tableColumns count="12">
    <tableColumn id="1" name=" Order"/>
    <tableColumn id="2" name="OrderDate" dataDxfId="3"/>
    <tableColumn id="3" name="Region"/>
    <tableColumn id="4" name="Category"/>
    <tableColumn id="5" name="Product"/>
    <tableColumn id="6" name="Quantity"/>
    <tableColumn id="7" name="UnitPrice"/>
    <tableColumn id="8" name="Revenue"/>
    <tableColumn id="9" name="Profit"/>
    <tableColumn id="10" name="year" dataDxfId="2">
      <calculatedColumnFormula>YEAR(Table1[OrderDate])</calculatedColumnFormula>
    </tableColumn>
    <tableColumn id="11" name="month" dataDxfId="1">
      <calculatedColumnFormula>TEXT(Table1[[#This Row],[OrderDate]],"mmm")</calculatedColumnFormula>
    </tableColumn>
    <tableColumn id="12" name="weekDay" dataDxfId="0">
      <calculatedColumnFormula>TEXT(Table1[OrderDate],"ddd")</calculatedColumnFormula>
    </tableColumn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sqref="A1:L50"/>
    </sheetView>
  </sheetViews>
  <sheetFormatPr defaultRowHeight="15" x14ac:dyDescent="0.25"/>
  <cols>
    <col min="2" max="2" width="12.42578125" customWidth="1"/>
    <col min="3" max="3" width="9.28515625" customWidth="1"/>
    <col min="4" max="4" width="11" customWidth="1"/>
    <col min="5" max="5" width="10" customWidth="1"/>
    <col min="6" max="6" width="10.85546875" customWidth="1"/>
    <col min="7" max="7" width="11.42578125" customWidth="1"/>
    <col min="8" max="8" width="11" customWidth="1"/>
    <col min="12" max="12" width="11.28515625" customWidth="1"/>
  </cols>
  <sheetData>
    <row r="1" spans="1:12" x14ac:dyDescent="0.25">
      <c r="A1" t="s">
        <v>525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526</v>
      </c>
      <c r="K1" t="s">
        <v>529</v>
      </c>
      <c r="L1" t="s">
        <v>527</v>
      </c>
    </row>
    <row r="2" spans="1:12" x14ac:dyDescent="0.25">
      <c r="A2" t="s">
        <v>8</v>
      </c>
      <c r="B2" s="7">
        <v>45931</v>
      </c>
      <c r="C2" t="s">
        <v>9</v>
      </c>
      <c r="D2" t="s">
        <v>10</v>
      </c>
      <c r="E2" t="s">
        <v>11</v>
      </c>
      <c r="F2">
        <v>4</v>
      </c>
      <c r="G2">
        <v>2749</v>
      </c>
      <c r="H2">
        <v>10996</v>
      </c>
      <c r="I2">
        <v>2832.12</v>
      </c>
      <c r="J2">
        <v>2025</v>
      </c>
      <c r="K2" t="s">
        <v>528</v>
      </c>
      <c r="L2" t="s">
        <v>530</v>
      </c>
    </row>
    <row r="3" spans="1:12" x14ac:dyDescent="0.25">
      <c r="A3" t="s">
        <v>12</v>
      </c>
      <c r="B3" s="7">
        <v>45747</v>
      </c>
      <c r="C3" t="s">
        <v>13</v>
      </c>
      <c r="D3" t="s">
        <v>10</v>
      </c>
      <c r="E3" t="s">
        <v>11</v>
      </c>
      <c r="F3">
        <v>1</v>
      </c>
      <c r="G3">
        <v>2464</v>
      </c>
      <c r="H3">
        <v>2464</v>
      </c>
      <c r="I3">
        <v>482.18</v>
      </c>
      <c r="J3">
        <v>2025</v>
      </c>
      <c r="K3" t="s">
        <v>536</v>
      </c>
      <c r="L3" t="s">
        <v>537</v>
      </c>
    </row>
    <row r="4" spans="1:12" x14ac:dyDescent="0.25">
      <c r="A4" t="s">
        <v>516</v>
      </c>
      <c r="B4" s="7">
        <v>45864</v>
      </c>
      <c r="C4" t="s">
        <v>9</v>
      </c>
      <c r="D4" t="s">
        <v>10</v>
      </c>
      <c r="E4" t="s">
        <v>11</v>
      </c>
      <c r="F4">
        <v>10</v>
      </c>
      <c r="G4">
        <v>4167</v>
      </c>
      <c r="H4">
        <v>41670</v>
      </c>
      <c r="I4">
        <v>5801.36</v>
      </c>
      <c r="J4">
        <v>2025</v>
      </c>
      <c r="K4" t="s">
        <v>538</v>
      </c>
      <c r="L4" t="s">
        <v>539</v>
      </c>
    </row>
    <row r="5" spans="1:12" x14ac:dyDescent="0.25">
      <c r="A5" t="s">
        <v>511</v>
      </c>
      <c r="B5" s="7">
        <v>45757</v>
      </c>
      <c r="C5" t="s">
        <v>28</v>
      </c>
      <c r="D5" t="s">
        <v>10</v>
      </c>
      <c r="E5" t="s">
        <v>11</v>
      </c>
      <c r="F5">
        <v>4</v>
      </c>
      <c r="G5">
        <v>2150</v>
      </c>
      <c r="H5">
        <v>8600</v>
      </c>
      <c r="I5">
        <v>920.28</v>
      </c>
      <c r="J5">
        <v>2025</v>
      </c>
      <c r="K5" t="s">
        <v>540</v>
      </c>
      <c r="L5" t="s">
        <v>541</v>
      </c>
    </row>
    <row r="6" spans="1:12" x14ac:dyDescent="0.25">
      <c r="A6" t="s">
        <v>502</v>
      </c>
      <c r="B6" s="7">
        <v>45698</v>
      </c>
      <c r="C6" t="s">
        <v>9</v>
      </c>
      <c r="D6" t="s">
        <v>10</v>
      </c>
      <c r="E6" t="s">
        <v>11</v>
      </c>
      <c r="F6">
        <v>5</v>
      </c>
      <c r="G6">
        <v>2717</v>
      </c>
      <c r="H6">
        <v>13585</v>
      </c>
      <c r="I6">
        <v>3083.51</v>
      </c>
      <c r="J6">
        <v>2025</v>
      </c>
      <c r="K6" t="s">
        <v>542</v>
      </c>
      <c r="L6" t="s">
        <v>537</v>
      </c>
    </row>
    <row r="7" spans="1:12" x14ac:dyDescent="0.25">
      <c r="A7" t="s">
        <v>489</v>
      </c>
      <c r="B7" s="7">
        <v>46018</v>
      </c>
      <c r="C7" t="s">
        <v>13</v>
      </c>
      <c r="D7" t="s">
        <v>10</v>
      </c>
      <c r="E7" t="s">
        <v>11</v>
      </c>
      <c r="F7">
        <v>2</v>
      </c>
      <c r="G7">
        <v>662</v>
      </c>
      <c r="H7">
        <v>1324</v>
      </c>
      <c r="I7">
        <v>190.12</v>
      </c>
      <c r="J7">
        <v>2025</v>
      </c>
      <c r="K7" t="s">
        <v>543</v>
      </c>
      <c r="L7" t="s">
        <v>539</v>
      </c>
    </row>
    <row r="8" spans="1:12" x14ac:dyDescent="0.25">
      <c r="A8" t="s">
        <v>484</v>
      </c>
      <c r="B8" s="7">
        <v>45999</v>
      </c>
      <c r="C8" t="s">
        <v>13</v>
      </c>
      <c r="D8" t="s">
        <v>10</v>
      </c>
      <c r="E8" t="s">
        <v>11</v>
      </c>
      <c r="F8">
        <v>3</v>
      </c>
      <c r="G8">
        <v>3171</v>
      </c>
      <c r="H8">
        <v>9513</v>
      </c>
      <c r="I8">
        <v>1755.37</v>
      </c>
      <c r="J8">
        <v>2025</v>
      </c>
      <c r="K8" t="s">
        <v>543</v>
      </c>
      <c r="L8" t="s">
        <v>537</v>
      </c>
    </row>
    <row r="9" spans="1:12" x14ac:dyDescent="0.25">
      <c r="A9" t="s">
        <v>475</v>
      </c>
      <c r="B9" s="7">
        <v>45868</v>
      </c>
      <c r="C9" t="s">
        <v>28</v>
      </c>
      <c r="D9" t="s">
        <v>10</v>
      </c>
      <c r="E9" t="s">
        <v>11</v>
      </c>
      <c r="F9">
        <v>10</v>
      </c>
      <c r="G9">
        <v>4907</v>
      </c>
      <c r="H9">
        <v>49070</v>
      </c>
      <c r="I9">
        <v>6064.08</v>
      </c>
      <c r="J9">
        <v>2025</v>
      </c>
      <c r="K9" t="s">
        <v>538</v>
      </c>
      <c r="L9" t="s">
        <v>544</v>
      </c>
    </row>
    <row r="10" spans="1:12" x14ac:dyDescent="0.25">
      <c r="A10" t="s">
        <v>458</v>
      </c>
      <c r="B10" s="7">
        <v>46002</v>
      </c>
      <c r="C10" t="s">
        <v>13</v>
      </c>
      <c r="D10" t="s">
        <v>10</v>
      </c>
      <c r="E10" t="s">
        <v>11</v>
      </c>
      <c r="F10">
        <v>4</v>
      </c>
      <c r="G10">
        <v>4258</v>
      </c>
      <c r="H10">
        <v>17032</v>
      </c>
      <c r="I10">
        <v>4920.0600000000004</v>
      </c>
      <c r="J10">
        <v>2025</v>
      </c>
      <c r="K10" t="s">
        <v>543</v>
      </c>
      <c r="L10" t="s">
        <v>541</v>
      </c>
    </row>
    <row r="11" spans="1:12" x14ac:dyDescent="0.25">
      <c r="A11" t="s">
        <v>442</v>
      </c>
      <c r="B11" s="7">
        <v>45892</v>
      </c>
      <c r="C11" t="s">
        <v>28</v>
      </c>
      <c r="D11" t="s">
        <v>10</v>
      </c>
      <c r="E11" t="s">
        <v>11</v>
      </c>
      <c r="F11">
        <v>1</v>
      </c>
      <c r="G11">
        <v>274</v>
      </c>
      <c r="H11">
        <v>274</v>
      </c>
      <c r="I11">
        <v>71.260000000000005</v>
      </c>
      <c r="J11">
        <v>2025</v>
      </c>
      <c r="K11" t="s">
        <v>545</v>
      </c>
      <c r="L11" t="s">
        <v>539</v>
      </c>
    </row>
    <row r="12" spans="1:12" x14ac:dyDescent="0.25">
      <c r="A12" t="s">
        <v>435</v>
      </c>
      <c r="B12" s="7">
        <v>45789</v>
      </c>
      <c r="C12" t="s">
        <v>13</v>
      </c>
      <c r="D12" t="s">
        <v>10</v>
      </c>
      <c r="E12" t="s">
        <v>11</v>
      </c>
      <c r="F12">
        <v>9</v>
      </c>
      <c r="G12">
        <v>1784</v>
      </c>
      <c r="H12">
        <v>16056</v>
      </c>
      <c r="I12">
        <v>2035.91</v>
      </c>
      <c r="J12">
        <v>2025</v>
      </c>
      <c r="K12" t="s">
        <v>546</v>
      </c>
      <c r="L12" t="s">
        <v>537</v>
      </c>
    </row>
    <row r="13" spans="1:12" x14ac:dyDescent="0.25">
      <c r="A13" t="s">
        <v>429</v>
      </c>
      <c r="B13" s="7">
        <v>45782</v>
      </c>
      <c r="C13" t="s">
        <v>18</v>
      </c>
      <c r="D13" t="s">
        <v>10</v>
      </c>
      <c r="E13" t="s">
        <v>11</v>
      </c>
      <c r="F13">
        <v>10</v>
      </c>
      <c r="G13">
        <v>4057</v>
      </c>
      <c r="H13">
        <v>40570</v>
      </c>
      <c r="I13">
        <v>5874.73</v>
      </c>
      <c r="J13">
        <v>2025</v>
      </c>
      <c r="K13" t="s">
        <v>546</v>
      </c>
      <c r="L13" t="s">
        <v>537</v>
      </c>
    </row>
    <row r="14" spans="1:12" x14ac:dyDescent="0.25">
      <c r="A14" t="s">
        <v>422</v>
      </c>
      <c r="B14" s="7">
        <v>45685</v>
      </c>
      <c r="C14" t="s">
        <v>13</v>
      </c>
      <c r="D14" t="s">
        <v>10</v>
      </c>
      <c r="E14" t="s">
        <v>11</v>
      </c>
      <c r="F14">
        <v>10</v>
      </c>
      <c r="G14">
        <v>426</v>
      </c>
      <c r="H14">
        <v>4260</v>
      </c>
      <c r="I14">
        <v>651.44000000000005</v>
      </c>
      <c r="J14">
        <v>2025</v>
      </c>
      <c r="K14" t="s">
        <v>547</v>
      </c>
      <c r="L14" t="s">
        <v>548</v>
      </c>
    </row>
    <row r="15" spans="1:12" x14ac:dyDescent="0.25">
      <c r="A15" t="s">
        <v>403</v>
      </c>
      <c r="B15" s="7">
        <v>45908</v>
      </c>
      <c r="C15" t="s">
        <v>28</v>
      </c>
      <c r="D15" t="s">
        <v>10</v>
      </c>
      <c r="E15" t="s">
        <v>11</v>
      </c>
      <c r="F15">
        <v>1</v>
      </c>
      <c r="G15">
        <v>1762</v>
      </c>
      <c r="H15">
        <v>1762</v>
      </c>
      <c r="I15">
        <v>440.34</v>
      </c>
      <c r="J15">
        <v>2025</v>
      </c>
      <c r="K15" t="s">
        <v>549</v>
      </c>
      <c r="L15" t="s">
        <v>537</v>
      </c>
    </row>
    <row r="16" spans="1:12" x14ac:dyDescent="0.25">
      <c r="A16" t="s">
        <v>389</v>
      </c>
      <c r="B16" s="7">
        <v>45997</v>
      </c>
      <c r="C16" t="s">
        <v>13</v>
      </c>
      <c r="D16" t="s">
        <v>10</v>
      </c>
      <c r="E16" t="s">
        <v>11</v>
      </c>
      <c r="F16">
        <v>7</v>
      </c>
      <c r="G16">
        <v>2072</v>
      </c>
      <c r="H16">
        <v>14504</v>
      </c>
      <c r="I16">
        <v>1742.41</v>
      </c>
      <c r="J16">
        <v>2025</v>
      </c>
      <c r="K16" t="s">
        <v>543</v>
      </c>
      <c r="L16" t="s">
        <v>539</v>
      </c>
    </row>
    <row r="17" spans="1:12" x14ac:dyDescent="0.25">
      <c r="A17" t="s">
        <v>365</v>
      </c>
      <c r="B17" s="7">
        <v>45791</v>
      </c>
      <c r="C17" t="s">
        <v>13</v>
      </c>
      <c r="D17" t="s">
        <v>10</v>
      </c>
      <c r="E17" t="s">
        <v>11</v>
      </c>
      <c r="F17">
        <v>9</v>
      </c>
      <c r="G17">
        <v>1026</v>
      </c>
      <c r="H17">
        <v>9234</v>
      </c>
      <c r="I17">
        <v>1317.64</v>
      </c>
      <c r="J17">
        <v>2025</v>
      </c>
      <c r="K17" t="s">
        <v>546</v>
      </c>
      <c r="L17" t="s">
        <v>544</v>
      </c>
    </row>
    <row r="18" spans="1:12" x14ac:dyDescent="0.25">
      <c r="A18" t="s">
        <v>362</v>
      </c>
      <c r="B18" s="7">
        <v>45704</v>
      </c>
      <c r="C18" t="s">
        <v>18</v>
      </c>
      <c r="D18" t="s">
        <v>10</v>
      </c>
      <c r="E18" t="s">
        <v>11</v>
      </c>
      <c r="F18">
        <v>8</v>
      </c>
      <c r="G18">
        <v>4408</v>
      </c>
      <c r="H18">
        <v>35264</v>
      </c>
      <c r="I18">
        <v>5618.71</v>
      </c>
      <c r="J18">
        <v>2025</v>
      </c>
      <c r="K18" t="s">
        <v>542</v>
      </c>
      <c r="L18" t="s">
        <v>550</v>
      </c>
    </row>
    <row r="19" spans="1:12" x14ac:dyDescent="0.25">
      <c r="A19" t="s">
        <v>358</v>
      </c>
      <c r="B19" s="7">
        <v>45810</v>
      </c>
      <c r="C19" t="s">
        <v>18</v>
      </c>
      <c r="D19" t="s">
        <v>10</v>
      </c>
      <c r="E19" t="s">
        <v>11</v>
      </c>
      <c r="F19">
        <v>1</v>
      </c>
      <c r="G19">
        <v>2809</v>
      </c>
      <c r="H19">
        <v>2809</v>
      </c>
      <c r="I19">
        <v>645.83000000000004</v>
      </c>
      <c r="J19">
        <v>2025</v>
      </c>
      <c r="K19" t="s">
        <v>551</v>
      </c>
      <c r="L19" t="s">
        <v>537</v>
      </c>
    </row>
    <row r="20" spans="1:12" x14ac:dyDescent="0.25">
      <c r="A20" t="s">
        <v>357</v>
      </c>
      <c r="B20" s="7">
        <v>45967</v>
      </c>
      <c r="C20" t="s">
        <v>13</v>
      </c>
      <c r="D20" t="s">
        <v>10</v>
      </c>
      <c r="E20" t="s">
        <v>11</v>
      </c>
      <c r="F20">
        <v>2</v>
      </c>
      <c r="G20">
        <v>916</v>
      </c>
      <c r="H20">
        <v>1832</v>
      </c>
      <c r="I20">
        <v>276.77999999999997</v>
      </c>
      <c r="J20">
        <v>2025</v>
      </c>
      <c r="K20" t="s">
        <v>552</v>
      </c>
      <c r="L20" t="s">
        <v>541</v>
      </c>
    </row>
    <row r="21" spans="1:12" x14ac:dyDescent="0.25">
      <c r="A21" t="s">
        <v>335</v>
      </c>
      <c r="B21" s="7">
        <v>45790</v>
      </c>
      <c r="C21" t="s">
        <v>9</v>
      </c>
      <c r="D21" t="s">
        <v>10</v>
      </c>
      <c r="E21" t="s">
        <v>11</v>
      </c>
      <c r="F21">
        <v>6</v>
      </c>
      <c r="G21">
        <v>2581</v>
      </c>
      <c r="H21">
        <v>15486</v>
      </c>
      <c r="I21">
        <v>1439.68</v>
      </c>
      <c r="J21">
        <v>2025</v>
      </c>
      <c r="K21" t="s">
        <v>546</v>
      </c>
      <c r="L21" t="s">
        <v>548</v>
      </c>
    </row>
    <row r="22" spans="1:12" x14ac:dyDescent="0.25">
      <c r="A22" t="s">
        <v>330</v>
      </c>
      <c r="B22" s="7">
        <v>45659</v>
      </c>
      <c r="C22" t="s">
        <v>9</v>
      </c>
      <c r="D22" t="s">
        <v>10</v>
      </c>
      <c r="E22" t="s">
        <v>11</v>
      </c>
      <c r="F22">
        <v>2</v>
      </c>
      <c r="G22">
        <v>482</v>
      </c>
      <c r="H22">
        <v>964</v>
      </c>
      <c r="I22">
        <v>261.08</v>
      </c>
      <c r="J22">
        <v>2025</v>
      </c>
      <c r="K22" t="s">
        <v>547</v>
      </c>
      <c r="L22" t="s">
        <v>541</v>
      </c>
    </row>
    <row r="23" spans="1:12" x14ac:dyDescent="0.25">
      <c r="A23" t="s">
        <v>298</v>
      </c>
      <c r="B23" s="7">
        <v>45743</v>
      </c>
      <c r="C23" t="s">
        <v>9</v>
      </c>
      <c r="D23" t="s">
        <v>10</v>
      </c>
      <c r="E23" t="s">
        <v>11</v>
      </c>
      <c r="F23">
        <v>10</v>
      </c>
      <c r="G23">
        <v>2756</v>
      </c>
      <c r="H23">
        <v>27560</v>
      </c>
      <c r="I23">
        <v>6093.69</v>
      </c>
      <c r="J23">
        <v>2025</v>
      </c>
      <c r="K23" t="s">
        <v>536</v>
      </c>
      <c r="L23" t="s">
        <v>541</v>
      </c>
    </row>
    <row r="24" spans="1:12" x14ac:dyDescent="0.25">
      <c r="A24" t="s">
        <v>297</v>
      </c>
      <c r="B24" s="7">
        <v>45706</v>
      </c>
      <c r="C24" t="s">
        <v>18</v>
      </c>
      <c r="D24" t="s">
        <v>10</v>
      </c>
      <c r="E24" t="s">
        <v>11</v>
      </c>
      <c r="F24">
        <v>3</v>
      </c>
      <c r="G24">
        <v>3798</v>
      </c>
      <c r="H24">
        <v>11394</v>
      </c>
      <c r="I24">
        <v>2297.38</v>
      </c>
      <c r="J24">
        <v>2025</v>
      </c>
      <c r="K24" t="s">
        <v>542</v>
      </c>
      <c r="L24" t="s">
        <v>548</v>
      </c>
    </row>
    <row r="25" spans="1:12" x14ac:dyDescent="0.25">
      <c r="A25" t="s">
        <v>277</v>
      </c>
      <c r="B25" s="7">
        <v>45692</v>
      </c>
      <c r="C25" t="s">
        <v>28</v>
      </c>
      <c r="D25" t="s">
        <v>10</v>
      </c>
      <c r="E25" t="s">
        <v>11</v>
      </c>
      <c r="F25">
        <v>5</v>
      </c>
      <c r="G25">
        <v>2439</v>
      </c>
      <c r="H25">
        <v>12195</v>
      </c>
      <c r="I25">
        <v>2971.41</v>
      </c>
      <c r="J25">
        <v>2025</v>
      </c>
      <c r="K25" t="s">
        <v>542</v>
      </c>
      <c r="L25" t="s">
        <v>548</v>
      </c>
    </row>
    <row r="26" spans="1:12" x14ac:dyDescent="0.25">
      <c r="A26" t="s">
        <v>272</v>
      </c>
      <c r="B26" s="7">
        <v>45792</v>
      </c>
      <c r="C26" t="s">
        <v>18</v>
      </c>
      <c r="D26" t="s">
        <v>10</v>
      </c>
      <c r="E26" t="s">
        <v>11</v>
      </c>
      <c r="F26">
        <v>1</v>
      </c>
      <c r="G26">
        <v>491</v>
      </c>
      <c r="H26">
        <v>491</v>
      </c>
      <c r="I26">
        <v>96.95</v>
      </c>
      <c r="J26">
        <v>2025</v>
      </c>
      <c r="K26" t="s">
        <v>546</v>
      </c>
      <c r="L26" t="s">
        <v>541</v>
      </c>
    </row>
    <row r="27" spans="1:12" x14ac:dyDescent="0.25">
      <c r="A27" t="s">
        <v>256</v>
      </c>
      <c r="B27" s="7">
        <v>45964</v>
      </c>
      <c r="C27" t="s">
        <v>13</v>
      </c>
      <c r="D27" t="s">
        <v>10</v>
      </c>
      <c r="E27" t="s">
        <v>11</v>
      </c>
      <c r="F27">
        <v>6</v>
      </c>
      <c r="G27">
        <v>2380</v>
      </c>
      <c r="H27">
        <v>14280</v>
      </c>
      <c r="I27">
        <v>1613.02</v>
      </c>
      <c r="J27">
        <v>2025</v>
      </c>
      <c r="K27" t="s">
        <v>552</v>
      </c>
      <c r="L27" t="s">
        <v>537</v>
      </c>
    </row>
    <row r="28" spans="1:12" x14ac:dyDescent="0.25">
      <c r="A28" t="s">
        <v>254</v>
      </c>
      <c r="B28" s="7">
        <v>45748</v>
      </c>
      <c r="C28" t="s">
        <v>9</v>
      </c>
      <c r="D28" t="s">
        <v>10</v>
      </c>
      <c r="E28" t="s">
        <v>11</v>
      </c>
      <c r="F28">
        <v>6</v>
      </c>
      <c r="G28">
        <v>4798</v>
      </c>
      <c r="H28">
        <v>28788</v>
      </c>
      <c r="I28">
        <v>6907.1</v>
      </c>
      <c r="J28">
        <v>2025</v>
      </c>
      <c r="K28" t="s">
        <v>540</v>
      </c>
      <c r="L28" t="s">
        <v>548</v>
      </c>
    </row>
    <row r="29" spans="1:12" x14ac:dyDescent="0.25">
      <c r="A29" t="s">
        <v>50</v>
      </c>
      <c r="B29" s="7">
        <v>45826</v>
      </c>
      <c r="C29" t="s">
        <v>9</v>
      </c>
      <c r="D29" t="s">
        <v>10</v>
      </c>
      <c r="E29" t="s">
        <v>11</v>
      </c>
      <c r="F29">
        <v>3</v>
      </c>
      <c r="G29">
        <v>3393</v>
      </c>
      <c r="H29">
        <v>10179</v>
      </c>
      <c r="I29">
        <v>1424.8</v>
      </c>
      <c r="J29">
        <v>2025</v>
      </c>
      <c r="K29" t="s">
        <v>551</v>
      </c>
      <c r="L29" t="s">
        <v>544</v>
      </c>
    </row>
    <row r="30" spans="1:12" x14ac:dyDescent="0.25">
      <c r="A30" t="s">
        <v>238</v>
      </c>
      <c r="B30" s="7">
        <v>46000</v>
      </c>
      <c r="C30" t="s">
        <v>18</v>
      </c>
      <c r="D30" t="s">
        <v>10</v>
      </c>
      <c r="E30" t="s">
        <v>11</v>
      </c>
      <c r="F30">
        <v>7</v>
      </c>
      <c r="G30">
        <v>4201</v>
      </c>
      <c r="H30">
        <v>29407</v>
      </c>
      <c r="I30">
        <v>7257.9</v>
      </c>
      <c r="J30">
        <v>2025</v>
      </c>
      <c r="K30" t="s">
        <v>543</v>
      </c>
      <c r="L30" t="s">
        <v>548</v>
      </c>
    </row>
    <row r="31" spans="1:12" x14ac:dyDescent="0.25">
      <c r="A31" t="s">
        <v>230</v>
      </c>
      <c r="B31" s="7">
        <v>45749</v>
      </c>
      <c r="C31" t="s">
        <v>13</v>
      </c>
      <c r="D31" t="s">
        <v>10</v>
      </c>
      <c r="E31" t="s">
        <v>11</v>
      </c>
      <c r="F31">
        <v>1</v>
      </c>
      <c r="G31">
        <v>166</v>
      </c>
      <c r="H31">
        <v>166</v>
      </c>
      <c r="I31">
        <v>21.56</v>
      </c>
      <c r="J31">
        <v>2025</v>
      </c>
      <c r="K31" t="s">
        <v>540</v>
      </c>
      <c r="L31" t="s">
        <v>544</v>
      </c>
    </row>
    <row r="32" spans="1:12" x14ac:dyDescent="0.25">
      <c r="A32" t="s">
        <v>221</v>
      </c>
      <c r="B32" s="7">
        <v>45988</v>
      </c>
      <c r="C32" t="s">
        <v>28</v>
      </c>
      <c r="D32" t="s">
        <v>10</v>
      </c>
      <c r="E32" t="s">
        <v>11</v>
      </c>
      <c r="F32">
        <v>5</v>
      </c>
      <c r="G32">
        <v>272</v>
      </c>
      <c r="H32">
        <v>1360</v>
      </c>
      <c r="I32">
        <v>222.01</v>
      </c>
      <c r="J32">
        <v>2025</v>
      </c>
      <c r="K32" t="s">
        <v>552</v>
      </c>
      <c r="L32" t="s">
        <v>541</v>
      </c>
    </row>
    <row r="33" spans="1:12" x14ac:dyDescent="0.25">
      <c r="A33" t="s">
        <v>194</v>
      </c>
      <c r="B33" s="7">
        <v>45911</v>
      </c>
      <c r="C33" t="s">
        <v>13</v>
      </c>
      <c r="D33" t="s">
        <v>10</v>
      </c>
      <c r="E33" t="s">
        <v>11</v>
      </c>
      <c r="F33">
        <v>9</v>
      </c>
      <c r="G33">
        <v>3443</v>
      </c>
      <c r="H33">
        <v>30987</v>
      </c>
      <c r="I33">
        <v>5389.47</v>
      </c>
      <c r="J33">
        <v>2025</v>
      </c>
      <c r="K33" t="s">
        <v>549</v>
      </c>
      <c r="L33" t="s">
        <v>541</v>
      </c>
    </row>
    <row r="34" spans="1:12" x14ac:dyDescent="0.25">
      <c r="A34" t="s">
        <v>183</v>
      </c>
      <c r="B34" s="7">
        <v>45972</v>
      </c>
      <c r="C34" t="s">
        <v>28</v>
      </c>
      <c r="D34" t="s">
        <v>10</v>
      </c>
      <c r="E34" t="s">
        <v>11</v>
      </c>
      <c r="F34">
        <v>8</v>
      </c>
      <c r="G34">
        <v>1804</v>
      </c>
      <c r="H34">
        <v>14432</v>
      </c>
      <c r="I34">
        <v>3271.34</v>
      </c>
      <c r="J34">
        <v>2025</v>
      </c>
      <c r="K34" t="s">
        <v>552</v>
      </c>
      <c r="L34" t="s">
        <v>548</v>
      </c>
    </row>
    <row r="35" spans="1:12" x14ac:dyDescent="0.25">
      <c r="A35" t="s">
        <v>176</v>
      </c>
      <c r="B35" s="7">
        <v>45930</v>
      </c>
      <c r="C35" t="s">
        <v>13</v>
      </c>
      <c r="D35" t="s">
        <v>10</v>
      </c>
      <c r="E35" t="s">
        <v>11</v>
      </c>
      <c r="F35">
        <v>3</v>
      </c>
      <c r="G35">
        <v>4330</v>
      </c>
      <c r="H35">
        <v>12990</v>
      </c>
      <c r="I35">
        <v>3767.69</v>
      </c>
      <c r="J35">
        <v>2025</v>
      </c>
      <c r="K35" t="s">
        <v>549</v>
      </c>
      <c r="L35" t="s">
        <v>548</v>
      </c>
    </row>
    <row r="36" spans="1:12" x14ac:dyDescent="0.25">
      <c r="A36" t="s">
        <v>174</v>
      </c>
      <c r="B36" s="7">
        <v>46012</v>
      </c>
      <c r="C36" t="s">
        <v>9</v>
      </c>
      <c r="D36" t="s">
        <v>10</v>
      </c>
      <c r="E36" t="s">
        <v>11</v>
      </c>
      <c r="F36">
        <v>6</v>
      </c>
      <c r="G36">
        <v>3269</v>
      </c>
      <c r="H36">
        <v>19614</v>
      </c>
      <c r="I36">
        <v>3400.42</v>
      </c>
      <c r="J36">
        <v>2025</v>
      </c>
      <c r="K36" t="s">
        <v>543</v>
      </c>
      <c r="L36" t="s">
        <v>550</v>
      </c>
    </row>
    <row r="37" spans="1:12" x14ac:dyDescent="0.25">
      <c r="A37" t="s">
        <v>171</v>
      </c>
      <c r="B37" s="7">
        <v>45766</v>
      </c>
      <c r="C37" t="s">
        <v>28</v>
      </c>
      <c r="D37" t="s">
        <v>10</v>
      </c>
      <c r="E37" t="s">
        <v>11</v>
      </c>
      <c r="F37">
        <v>2</v>
      </c>
      <c r="G37">
        <v>4866</v>
      </c>
      <c r="H37">
        <v>9732</v>
      </c>
      <c r="I37">
        <v>2749.2</v>
      </c>
      <c r="J37">
        <v>2025</v>
      </c>
      <c r="K37" t="s">
        <v>540</v>
      </c>
      <c r="L37" t="s">
        <v>539</v>
      </c>
    </row>
    <row r="38" spans="1:12" x14ac:dyDescent="0.25">
      <c r="A38" t="s">
        <v>168</v>
      </c>
      <c r="B38" s="7">
        <v>45944</v>
      </c>
      <c r="C38" t="s">
        <v>18</v>
      </c>
      <c r="D38" t="s">
        <v>10</v>
      </c>
      <c r="E38" t="s">
        <v>11</v>
      </c>
      <c r="F38">
        <v>1</v>
      </c>
      <c r="G38">
        <v>2485</v>
      </c>
      <c r="H38">
        <v>2485</v>
      </c>
      <c r="I38">
        <v>578.99</v>
      </c>
      <c r="J38">
        <v>2025</v>
      </c>
      <c r="K38" t="s">
        <v>553</v>
      </c>
      <c r="L38" t="s">
        <v>548</v>
      </c>
    </row>
    <row r="39" spans="1:12" x14ac:dyDescent="0.25">
      <c r="A39" t="s">
        <v>60</v>
      </c>
      <c r="B39" s="7">
        <v>45790</v>
      </c>
      <c r="C39" t="s">
        <v>28</v>
      </c>
      <c r="D39" t="s">
        <v>10</v>
      </c>
      <c r="E39" t="s">
        <v>11</v>
      </c>
      <c r="F39">
        <v>1</v>
      </c>
      <c r="G39">
        <v>3444</v>
      </c>
      <c r="H39">
        <v>3444</v>
      </c>
      <c r="I39">
        <v>288.85000000000002</v>
      </c>
      <c r="J39">
        <v>2025</v>
      </c>
      <c r="K39" t="s">
        <v>546</v>
      </c>
      <c r="L39" t="s">
        <v>548</v>
      </c>
    </row>
    <row r="40" spans="1:12" x14ac:dyDescent="0.25">
      <c r="A40" t="s">
        <v>157</v>
      </c>
      <c r="B40" s="7">
        <v>45868</v>
      </c>
      <c r="C40" t="s">
        <v>28</v>
      </c>
      <c r="D40" t="s">
        <v>10</v>
      </c>
      <c r="E40" t="s">
        <v>11</v>
      </c>
      <c r="F40">
        <v>10</v>
      </c>
      <c r="G40">
        <v>4113</v>
      </c>
      <c r="H40">
        <v>41130</v>
      </c>
      <c r="I40">
        <v>5773.33</v>
      </c>
      <c r="J40">
        <v>2025</v>
      </c>
      <c r="K40" t="s">
        <v>538</v>
      </c>
      <c r="L40" t="s">
        <v>544</v>
      </c>
    </row>
    <row r="41" spans="1:12" x14ac:dyDescent="0.25">
      <c r="A41" t="s">
        <v>148</v>
      </c>
      <c r="B41" s="7">
        <v>45959</v>
      </c>
      <c r="C41" t="s">
        <v>9</v>
      </c>
      <c r="D41" t="s">
        <v>10</v>
      </c>
      <c r="E41" t="s">
        <v>11</v>
      </c>
      <c r="F41">
        <v>5</v>
      </c>
      <c r="G41">
        <v>1184</v>
      </c>
      <c r="H41">
        <v>5920</v>
      </c>
      <c r="I41">
        <v>1305.8499999999999</v>
      </c>
      <c r="J41">
        <v>2025</v>
      </c>
      <c r="K41" t="s">
        <v>553</v>
      </c>
      <c r="L41" t="s">
        <v>544</v>
      </c>
    </row>
    <row r="42" spans="1:12" x14ac:dyDescent="0.25">
      <c r="A42" t="s">
        <v>145</v>
      </c>
      <c r="B42" s="7">
        <v>45960</v>
      </c>
      <c r="C42" t="s">
        <v>9</v>
      </c>
      <c r="D42" t="s">
        <v>10</v>
      </c>
      <c r="E42" t="s">
        <v>11</v>
      </c>
      <c r="F42">
        <v>6</v>
      </c>
      <c r="G42">
        <v>639</v>
      </c>
      <c r="H42">
        <v>3834</v>
      </c>
      <c r="I42">
        <v>522.75</v>
      </c>
      <c r="J42">
        <v>2025</v>
      </c>
      <c r="K42" t="s">
        <v>553</v>
      </c>
      <c r="L42" t="s">
        <v>541</v>
      </c>
    </row>
    <row r="43" spans="1:12" x14ac:dyDescent="0.25">
      <c r="A43" t="s">
        <v>141</v>
      </c>
      <c r="B43" s="7">
        <v>45738</v>
      </c>
      <c r="C43" t="s">
        <v>13</v>
      </c>
      <c r="D43" t="s">
        <v>10</v>
      </c>
      <c r="E43" t="s">
        <v>11</v>
      </c>
      <c r="F43">
        <v>5</v>
      </c>
      <c r="G43">
        <v>4297</v>
      </c>
      <c r="H43">
        <v>21485</v>
      </c>
      <c r="I43">
        <v>2100.4</v>
      </c>
      <c r="J43">
        <v>2025</v>
      </c>
      <c r="K43" t="s">
        <v>536</v>
      </c>
      <c r="L43" t="s">
        <v>539</v>
      </c>
    </row>
    <row r="44" spans="1:12" x14ac:dyDescent="0.25">
      <c r="A44" t="s">
        <v>140</v>
      </c>
      <c r="B44" s="7">
        <v>45686</v>
      </c>
      <c r="C44" t="s">
        <v>9</v>
      </c>
      <c r="D44" t="s">
        <v>10</v>
      </c>
      <c r="E44" t="s">
        <v>11</v>
      </c>
      <c r="F44">
        <v>7</v>
      </c>
      <c r="G44">
        <v>1979</v>
      </c>
      <c r="H44">
        <v>13853</v>
      </c>
      <c r="I44">
        <v>3418.32</v>
      </c>
      <c r="J44">
        <v>2025</v>
      </c>
      <c r="K44" t="s">
        <v>547</v>
      </c>
      <c r="L44" t="s">
        <v>544</v>
      </c>
    </row>
    <row r="45" spans="1:12" x14ac:dyDescent="0.25">
      <c r="A45" t="s">
        <v>138</v>
      </c>
      <c r="B45" s="7">
        <v>45972</v>
      </c>
      <c r="C45" t="s">
        <v>9</v>
      </c>
      <c r="D45" t="s">
        <v>10</v>
      </c>
      <c r="E45" t="s">
        <v>11</v>
      </c>
      <c r="F45">
        <v>10</v>
      </c>
      <c r="G45">
        <v>4416</v>
      </c>
      <c r="H45">
        <v>44160</v>
      </c>
      <c r="I45">
        <v>4283.01</v>
      </c>
      <c r="J45">
        <v>2025</v>
      </c>
      <c r="K45" t="s">
        <v>552</v>
      </c>
      <c r="L45" t="s">
        <v>548</v>
      </c>
    </row>
    <row r="46" spans="1:12" x14ac:dyDescent="0.25">
      <c r="A46" t="s">
        <v>120</v>
      </c>
      <c r="B46" s="7">
        <v>45975</v>
      </c>
      <c r="C46" t="s">
        <v>9</v>
      </c>
      <c r="D46" t="s">
        <v>10</v>
      </c>
      <c r="E46" t="s">
        <v>11</v>
      </c>
      <c r="F46">
        <v>5</v>
      </c>
      <c r="G46">
        <v>1364</v>
      </c>
      <c r="H46">
        <v>6820</v>
      </c>
      <c r="I46">
        <v>770.71</v>
      </c>
      <c r="J46">
        <v>2025</v>
      </c>
      <c r="K46" t="s">
        <v>552</v>
      </c>
      <c r="L46" t="s">
        <v>530</v>
      </c>
    </row>
    <row r="47" spans="1:12" x14ac:dyDescent="0.25">
      <c r="A47" t="s">
        <v>112</v>
      </c>
      <c r="B47" s="7">
        <v>45679</v>
      </c>
      <c r="C47" t="s">
        <v>9</v>
      </c>
      <c r="D47" t="s">
        <v>10</v>
      </c>
      <c r="E47" t="s">
        <v>11</v>
      </c>
      <c r="F47">
        <v>6</v>
      </c>
      <c r="G47">
        <v>370</v>
      </c>
      <c r="H47">
        <v>2220</v>
      </c>
      <c r="I47">
        <v>624.1</v>
      </c>
      <c r="J47">
        <v>2025</v>
      </c>
      <c r="K47" t="s">
        <v>547</v>
      </c>
      <c r="L47" t="s">
        <v>544</v>
      </c>
    </row>
    <row r="48" spans="1:12" x14ac:dyDescent="0.25">
      <c r="A48" t="s">
        <v>101</v>
      </c>
      <c r="B48" s="7">
        <v>45757</v>
      </c>
      <c r="C48" t="s">
        <v>28</v>
      </c>
      <c r="D48" t="s">
        <v>10</v>
      </c>
      <c r="E48" t="s">
        <v>11</v>
      </c>
      <c r="F48">
        <v>3</v>
      </c>
      <c r="G48">
        <v>4028</v>
      </c>
      <c r="H48">
        <v>12084</v>
      </c>
      <c r="I48">
        <v>2473.7399999999998</v>
      </c>
      <c r="J48">
        <v>2025</v>
      </c>
      <c r="K48" t="s">
        <v>540</v>
      </c>
      <c r="L48" t="s">
        <v>541</v>
      </c>
    </row>
    <row r="49" spans="1:12" x14ac:dyDescent="0.25">
      <c r="A49" t="s">
        <v>77</v>
      </c>
      <c r="B49" s="7">
        <v>45679</v>
      </c>
      <c r="C49" t="s">
        <v>18</v>
      </c>
      <c r="D49" t="s">
        <v>10</v>
      </c>
      <c r="E49" t="s">
        <v>11</v>
      </c>
      <c r="F49">
        <v>4</v>
      </c>
      <c r="G49">
        <v>4925</v>
      </c>
      <c r="H49">
        <v>19700</v>
      </c>
      <c r="I49">
        <v>3738.27</v>
      </c>
      <c r="J49">
        <v>2025</v>
      </c>
      <c r="K49" t="s">
        <v>547</v>
      </c>
      <c r="L49" t="s">
        <v>544</v>
      </c>
    </row>
    <row r="50" spans="1:12" x14ac:dyDescent="0.25">
      <c r="A50" t="s">
        <v>71</v>
      </c>
      <c r="B50" s="7">
        <v>46019</v>
      </c>
      <c r="C50" t="s">
        <v>13</v>
      </c>
      <c r="D50" t="s">
        <v>10</v>
      </c>
      <c r="E50" t="s">
        <v>11</v>
      </c>
      <c r="F50">
        <v>4</v>
      </c>
      <c r="G50">
        <v>4269</v>
      </c>
      <c r="H50">
        <v>17076</v>
      </c>
      <c r="I50">
        <v>3675.82</v>
      </c>
      <c r="J50">
        <v>2025</v>
      </c>
      <c r="K50" t="s">
        <v>543</v>
      </c>
      <c r="L50" t="s">
        <v>550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showGridLines="0" topLeftCell="D1" workbookViewId="0">
      <selection activeCell="P12" sqref="P12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5.140625" customWidth="1"/>
    <col min="4" max="4" width="13.140625" bestFit="1" customWidth="1"/>
    <col min="5" max="5" width="15.5703125" bestFit="1" customWidth="1"/>
    <col min="6" max="6" width="5.85546875" customWidth="1"/>
    <col min="7" max="7" width="0.28515625" hidden="1" customWidth="1"/>
    <col min="8" max="8" width="13.140625" customWidth="1"/>
    <col min="9" max="9" width="15.5703125" customWidth="1"/>
    <col min="10" max="10" width="4.28515625" customWidth="1"/>
    <col min="11" max="11" width="13.140625" bestFit="1" customWidth="1"/>
    <col min="12" max="12" width="15.5703125" bestFit="1" customWidth="1"/>
    <col min="13" max="13" width="12.5703125" bestFit="1" customWidth="1"/>
    <col min="14" max="14" width="4.140625" customWidth="1"/>
    <col min="15" max="15" width="13.140625" bestFit="1" customWidth="1"/>
    <col min="16" max="16" width="15.5703125" bestFit="1" customWidth="1"/>
    <col min="17" max="17" width="5" customWidth="1"/>
    <col min="18" max="18" width="13.140625" customWidth="1"/>
    <col min="19" max="19" width="16" bestFit="1" customWidth="1"/>
    <col min="20" max="20" width="4.140625" customWidth="1"/>
    <col min="21" max="21" width="13.140625" bestFit="1" customWidth="1"/>
    <col min="22" max="22" width="16.28515625" customWidth="1"/>
    <col min="23" max="23" width="11.28515625" bestFit="1" customWidth="1"/>
    <col min="24" max="24" width="4.7109375" customWidth="1"/>
    <col min="25" max="25" width="13.140625" customWidth="1"/>
    <col min="26" max="26" width="12.5703125" customWidth="1"/>
    <col min="27" max="27" width="11.28515625" customWidth="1"/>
    <col min="28" max="28" width="16.42578125" bestFit="1" customWidth="1"/>
    <col min="29" max="29" width="17.7109375" bestFit="1" customWidth="1"/>
  </cols>
  <sheetData>
    <row r="1" spans="1:26" x14ac:dyDescent="0.25">
      <c r="A1" s="6" t="s">
        <v>533</v>
      </c>
      <c r="B1" s="6"/>
      <c r="D1" s="6" t="s">
        <v>554</v>
      </c>
      <c r="E1" s="6"/>
      <c r="K1" s="6" t="s">
        <v>556</v>
      </c>
      <c r="L1" s="6"/>
      <c r="R1" s="6" t="s">
        <v>559</v>
      </c>
      <c r="S1" s="6"/>
    </row>
    <row r="2" spans="1:26" x14ac:dyDescent="0.25">
      <c r="D2" s="3" t="s">
        <v>531</v>
      </c>
      <c r="E2" t="s">
        <v>535</v>
      </c>
      <c r="H2" s="6" t="s">
        <v>555</v>
      </c>
      <c r="I2" s="6"/>
      <c r="K2" s="3" t="s">
        <v>531</v>
      </c>
      <c r="L2" t="s">
        <v>535</v>
      </c>
      <c r="M2" t="s">
        <v>557</v>
      </c>
      <c r="O2" s="6" t="s">
        <v>558</v>
      </c>
      <c r="P2" s="6"/>
      <c r="R2" s="3" t="s">
        <v>531</v>
      </c>
      <c r="S2" t="s">
        <v>560</v>
      </c>
      <c r="U2" s="6" t="s">
        <v>563</v>
      </c>
      <c r="V2" s="6"/>
      <c r="Y2" s="6" t="s">
        <v>564</v>
      </c>
      <c r="Z2" s="6"/>
    </row>
    <row r="3" spans="1:26" x14ac:dyDescent="0.25">
      <c r="A3" s="3" t="s">
        <v>531</v>
      </c>
      <c r="B3" t="s">
        <v>534</v>
      </c>
      <c r="D3" s="4" t="s">
        <v>80</v>
      </c>
      <c r="E3" s="5">
        <v>697255</v>
      </c>
      <c r="H3" s="3" t="s">
        <v>531</v>
      </c>
      <c r="I3" t="s">
        <v>535</v>
      </c>
      <c r="K3" s="4">
        <v>2025</v>
      </c>
      <c r="L3" s="12">
        <v>7464597</v>
      </c>
      <c r="M3" s="12">
        <v>1400184.62</v>
      </c>
      <c r="O3" s="3" t="s">
        <v>531</v>
      </c>
      <c r="P3" t="s">
        <v>535</v>
      </c>
      <c r="R3" s="4" t="s">
        <v>537</v>
      </c>
      <c r="S3" s="5">
        <v>66</v>
      </c>
      <c r="U3" s="3" t="s">
        <v>561</v>
      </c>
      <c r="V3" s="3" t="s">
        <v>562</v>
      </c>
      <c r="Y3" s="3" t="s">
        <v>531</v>
      </c>
      <c r="Z3" t="s">
        <v>557</v>
      </c>
    </row>
    <row r="4" spans="1:26" x14ac:dyDescent="0.25">
      <c r="A4" s="4" t="s">
        <v>80</v>
      </c>
      <c r="B4" s="5">
        <v>238</v>
      </c>
      <c r="D4" s="4" t="s">
        <v>19</v>
      </c>
      <c r="E4" s="5">
        <v>630085</v>
      </c>
      <c r="H4" s="4">
        <v>2025</v>
      </c>
      <c r="I4" s="5">
        <v>7464597</v>
      </c>
      <c r="K4" s="8" t="s">
        <v>547</v>
      </c>
      <c r="L4" s="12">
        <v>551344</v>
      </c>
      <c r="M4" s="12">
        <v>110471.89000000003</v>
      </c>
      <c r="O4" s="4" t="s">
        <v>28</v>
      </c>
      <c r="P4" s="5">
        <v>1883937</v>
      </c>
      <c r="R4" s="4" t="s">
        <v>548</v>
      </c>
      <c r="S4" s="5">
        <v>75</v>
      </c>
      <c r="U4" s="3" t="s">
        <v>531</v>
      </c>
      <c r="V4">
        <v>2025</v>
      </c>
      <c r="W4" t="s">
        <v>532</v>
      </c>
      <c r="Y4" s="4" t="s">
        <v>80</v>
      </c>
      <c r="Z4" s="5">
        <v>148893.18999999997</v>
      </c>
    </row>
    <row r="5" spans="1:26" x14ac:dyDescent="0.25">
      <c r="A5" s="4" t="s">
        <v>19</v>
      </c>
      <c r="B5" s="5">
        <v>259</v>
      </c>
      <c r="D5" s="4" t="s">
        <v>16</v>
      </c>
      <c r="E5" s="5">
        <v>905767</v>
      </c>
      <c r="H5" s="4" t="s">
        <v>532</v>
      </c>
      <c r="I5" s="5">
        <v>7464597</v>
      </c>
      <c r="K5" s="8" t="s">
        <v>542</v>
      </c>
      <c r="L5" s="12">
        <v>558331</v>
      </c>
      <c r="M5" s="12">
        <v>112035.19000000002</v>
      </c>
      <c r="O5" s="4" t="s">
        <v>18</v>
      </c>
      <c r="P5" s="5">
        <v>1730524</v>
      </c>
      <c r="R5" s="4" t="s">
        <v>544</v>
      </c>
      <c r="S5" s="5">
        <v>56</v>
      </c>
      <c r="U5" s="4" t="s">
        <v>547</v>
      </c>
      <c r="V5" s="5">
        <v>76950</v>
      </c>
      <c r="W5" s="5">
        <v>76950</v>
      </c>
      <c r="Y5" s="4" t="s">
        <v>19</v>
      </c>
      <c r="Z5" s="5">
        <v>117065.41999999998</v>
      </c>
    </row>
    <row r="6" spans="1:26" x14ac:dyDescent="0.25">
      <c r="A6" s="4" t="s">
        <v>16</v>
      </c>
      <c r="B6" s="5">
        <v>356</v>
      </c>
      <c r="D6" s="4" t="s">
        <v>45</v>
      </c>
      <c r="E6" s="5">
        <v>507499</v>
      </c>
      <c r="K6" s="8" t="s">
        <v>536</v>
      </c>
      <c r="L6" s="12">
        <v>561571</v>
      </c>
      <c r="M6" s="12">
        <v>104256.16999999998</v>
      </c>
      <c r="O6" s="4" t="s">
        <v>13</v>
      </c>
      <c r="P6" s="5">
        <v>1990559</v>
      </c>
      <c r="R6" s="4" t="s">
        <v>541</v>
      </c>
      <c r="S6" s="5">
        <v>75</v>
      </c>
      <c r="U6" s="4" t="s">
        <v>542</v>
      </c>
      <c r="V6" s="5">
        <v>72900</v>
      </c>
      <c r="W6" s="5">
        <v>72900</v>
      </c>
      <c r="Y6" s="4" t="s">
        <v>16</v>
      </c>
      <c r="Z6" s="5">
        <v>158950.20000000001</v>
      </c>
    </row>
    <row r="7" spans="1:26" x14ac:dyDescent="0.25">
      <c r="A7" s="4" t="s">
        <v>45</v>
      </c>
      <c r="B7" s="5">
        <v>203</v>
      </c>
      <c r="D7" s="4" t="s">
        <v>88</v>
      </c>
      <c r="E7" s="5">
        <v>627634</v>
      </c>
      <c r="K7" s="8" t="s">
        <v>540</v>
      </c>
      <c r="L7" s="12">
        <v>788752</v>
      </c>
      <c r="M7" s="12">
        <v>139378.51999999996</v>
      </c>
      <c r="O7" s="4" t="s">
        <v>9</v>
      </c>
      <c r="P7" s="5">
        <v>1859577</v>
      </c>
      <c r="R7" s="4" t="s">
        <v>530</v>
      </c>
      <c r="S7" s="5">
        <v>75</v>
      </c>
      <c r="U7" s="4" t="s">
        <v>536</v>
      </c>
      <c r="V7" s="5">
        <v>81000</v>
      </c>
      <c r="W7" s="5">
        <v>81000</v>
      </c>
      <c r="Y7" s="4" t="s">
        <v>45</v>
      </c>
      <c r="Z7" s="5">
        <v>96698.050000000017</v>
      </c>
    </row>
    <row r="8" spans="1:26" x14ac:dyDescent="0.25">
      <c r="A8" s="4" t="s">
        <v>88</v>
      </c>
      <c r="B8" s="5">
        <v>220</v>
      </c>
      <c r="D8" s="4" t="s">
        <v>22</v>
      </c>
      <c r="E8" s="5">
        <v>615704</v>
      </c>
      <c r="K8" s="8" t="s">
        <v>546</v>
      </c>
      <c r="L8" s="12">
        <v>597550</v>
      </c>
      <c r="M8" s="12">
        <v>114220.44999999997</v>
      </c>
      <c r="O8" s="4" t="s">
        <v>532</v>
      </c>
      <c r="P8" s="5">
        <v>7464597</v>
      </c>
      <c r="R8" s="4" t="s">
        <v>539</v>
      </c>
      <c r="S8" s="5">
        <v>76</v>
      </c>
      <c r="U8" s="4" t="s">
        <v>540</v>
      </c>
      <c r="V8" s="5">
        <v>103275</v>
      </c>
      <c r="W8" s="5">
        <v>103275</v>
      </c>
      <c r="Y8" s="4" t="s">
        <v>88</v>
      </c>
      <c r="Z8" s="5">
        <v>121275.07</v>
      </c>
    </row>
    <row r="9" spans="1:26" x14ac:dyDescent="0.25">
      <c r="A9" s="4" t="s">
        <v>22</v>
      </c>
      <c r="B9" s="5">
        <v>273</v>
      </c>
      <c r="D9" s="4" t="s">
        <v>24</v>
      </c>
      <c r="E9" s="5">
        <v>634278</v>
      </c>
      <c r="K9" s="8" t="s">
        <v>551</v>
      </c>
      <c r="L9" s="12">
        <v>489164</v>
      </c>
      <c r="M9" s="12">
        <v>89372.220000000045</v>
      </c>
      <c r="R9" s="4" t="s">
        <v>550</v>
      </c>
      <c r="S9" s="5">
        <v>77</v>
      </c>
      <c r="U9" s="4" t="s">
        <v>546</v>
      </c>
      <c r="V9" s="5">
        <v>74925</v>
      </c>
      <c r="W9" s="5">
        <v>74925</v>
      </c>
      <c r="Y9" s="4" t="s">
        <v>22</v>
      </c>
      <c r="Z9" s="5">
        <v>122420.20000000001</v>
      </c>
    </row>
    <row r="10" spans="1:26" x14ac:dyDescent="0.25">
      <c r="A10" s="4" t="s">
        <v>24</v>
      </c>
      <c r="B10" s="5">
        <v>231</v>
      </c>
      <c r="D10" s="4" t="s">
        <v>30</v>
      </c>
      <c r="E10" s="5">
        <v>830369</v>
      </c>
      <c r="K10" s="8" t="s">
        <v>538</v>
      </c>
      <c r="L10" s="12">
        <v>688861</v>
      </c>
      <c r="M10" s="12">
        <v>124865.04999999996</v>
      </c>
      <c r="R10" s="4" t="s">
        <v>532</v>
      </c>
      <c r="S10" s="5">
        <v>500</v>
      </c>
      <c r="U10" s="4" t="s">
        <v>551</v>
      </c>
      <c r="V10" s="5">
        <v>83025</v>
      </c>
      <c r="W10" s="5">
        <v>83025</v>
      </c>
      <c r="Y10" s="4" t="s">
        <v>24</v>
      </c>
      <c r="Z10" s="5">
        <v>121375.90000000001</v>
      </c>
    </row>
    <row r="11" spans="1:26" x14ac:dyDescent="0.25">
      <c r="A11" s="4" t="s">
        <v>30</v>
      </c>
      <c r="B11" s="5">
        <v>339</v>
      </c>
      <c r="D11" s="4" t="s">
        <v>33</v>
      </c>
      <c r="E11" s="5">
        <v>1300951</v>
      </c>
      <c r="K11" s="8" t="s">
        <v>545</v>
      </c>
      <c r="L11" s="12">
        <v>792450</v>
      </c>
      <c r="M11" s="12">
        <v>162203.03000000003</v>
      </c>
      <c r="U11" s="4" t="s">
        <v>538</v>
      </c>
      <c r="V11" s="5">
        <v>91125</v>
      </c>
      <c r="W11" s="5">
        <v>91125</v>
      </c>
      <c r="Y11" s="4" t="s">
        <v>30</v>
      </c>
      <c r="Z11" s="5">
        <v>150859.62</v>
      </c>
    </row>
    <row r="12" spans="1:26" x14ac:dyDescent="0.25">
      <c r="A12" s="4" t="s">
        <v>33</v>
      </c>
      <c r="B12" s="5">
        <v>444</v>
      </c>
      <c r="D12" s="4" t="s">
        <v>11</v>
      </c>
      <c r="E12" s="5">
        <v>715055</v>
      </c>
      <c r="K12" s="8" t="s">
        <v>549</v>
      </c>
      <c r="L12" s="12">
        <v>503617</v>
      </c>
      <c r="M12" s="12">
        <v>90944.839999999982</v>
      </c>
      <c r="U12" s="4" t="s">
        <v>545</v>
      </c>
      <c r="V12" s="5">
        <v>99225</v>
      </c>
      <c r="W12" s="5">
        <v>99225</v>
      </c>
      <c r="Y12" s="4" t="s">
        <v>33</v>
      </c>
      <c r="Z12" s="5">
        <v>239183.99999999994</v>
      </c>
    </row>
    <row r="13" spans="1:26" x14ac:dyDescent="0.25">
      <c r="A13" s="4" t="s">
        <v>11</v>
      </c>
      <c r="B13" s="5">
        <v>251</v>
      </c>
      <c r="D13" s="4" t="s">
        <v>532</v>
      </c>
      <c r="E13" s="5">
        <v>7464597</v>
      </c>
      <c r="K13" s="8" t="s">
        <v>553</v>
      </c>
      <c r="L13" s="12">
        <v>663318</v>
      </c>
      <c r="M13" s="12">
        <v>134447.39000000004</v>
      </c>
      <c r="U13" s="4" t="s">
        <v>549</v>
      </c>
      <c r="V13" s="5">
        <v>66825</v>
      </c>
      <c r="W13" s="5">
        <v>66825</v>
      </c>
      <c r="Y13" s="4" t="s">
        <v>11</v>
      </c>
      <c r="Z13" s="5">
        <v>123462.97</v>
      </c>
    </row>
    <row r="14" spans="1:26" x14ac:dyDescent="0.25">
      <c r="A14" s="4" t="s">
        <v>532</v>
      </c>
      <c r="B14" s="5">
        <v>2814</v>
      </c>
      <c r="K14" s="8" t="s">
        <v>552</v>
      </c>
      <c r="L14" s="12">
        <v>636091</v>
      </c>
      <c r="M14" s="12">
        <v>96906.939999999973</v>
      </c>
      <c r="U14" s="4" t="s">
        <v>553</v>
      </c>
      <c r="V14" s="5">
        <v>99225</v>
      </c>
      <c r="W14" s="5">
        <v>99225</v>
      </c>
      <c r="Y14" s="4" t="s">
        <v>532</v>
      </c>
      <c r="Z14" s="5">
        <v>1400184.6199999999</v>
      </c>
    </row>
    <row r="15" spans="1:26" x14ac:dyDescent="0.25">
      <c r="K15" s="8" t="s">
        <v>543</v>
      </c>
      <c r="L15" s="12">
        <v>622552</v>
      </c>
      <c r="M15" s="12">
        <v>118250.81</v>
      </c>
      <c r="U15" s="4" t="s">
        <v>552</v>
      </c>
      <c r="V15" s="5">
        <v>81000</v>
      </c>
      <c r="W15" s="5">
        <v>81000</v>
      </c>
    </row>
    <row r="16" spans="1:26" x14ac:dyDescent="0.25">
      <c r="K16" s="8" t="s">
        <v>528</v>
      </c>
      <c r="L16" s="12">
        <v>10996</v>
      </c>
      <c r="M16" s="12">
        <v>2832.12</v>
      </c>
      <c r="U16" s="4" t="s">
        <v>543</v>
      </c>
      <c r="V16" s="5">
        <v>81000</v>
      </c>
      <c r="W16" s="5">
        <v>81000</v>
      </c>
    </row>
    <row r="17" spans="1:23" x14ac:dyDescent="0.25">
      <c r="A17" s="11" t="s">
        <v>567</v>
      </c>
      <c r="B17" s="9">
        <v>500</v>
      </c>
      <c r="K17" s="4" t="s">
        <v>532</v>
      </c>
      <c r="L17" s="12">
        <v>7464597</v>
      </c>
      <c r="M17" s="12">
        <v>1400184.62</v>
      </c>
      <c r="U17" s="4" t="s">
        <v>528</v>
      </c>
      <c r="V17" s="5">
        <v>2025</v>
      </c>
      <c r="W17" s="5">
        <v>2025</v>
      </c>
    </row>
    <row r="18" spans="1:23" x14ac:dyDescent="0.25">
      <c r="A18" s="11" t="s">
        <v>565</v>
      </c>
      <c r="B18" s="9">
        <v>2814</v>
      </c>
      <c r="U18" s="4" t="s">
        <v>532</v>
      </c>
      <c r="V18" s="5">
        <v>1012500</v>
      </c>
      <c r="W18" s="5">
        <v>1012500</v>
      </c>
    </row>
    <row r="19" spans="1:23" x14ac:dyDescent="0.25">
      <c r="A19" s="11" t="s">
        <v>567</v>
      </c>
      <c r="B19" s="10">
        <v>7464597</v>
      </c>
    </row>
    <row r="20" spans="1:23" x14ac:dyDescent="0.25">
      <c r="A20" s="11" t="s">
        <v>566</v>
      </c>
      <c r="B20" s="10">
        <v>1400184.62</v>
      </c>
    </row>
  </sheetData>
  <pageMargins left="0.7" right="0.7" top="0.75" bottom="0.75" header="0.3" footer="0.3"/>
  <pageSetup paperSize="9" orientation="portrait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L37" sqref="L37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showGridLines="0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0.140625" customWidth="1"/>
    <col min="2" max="2" width="12.42578125" customWidth="1"/>
    <col min="3" max="3" width="9.28515625" customWidth="1"/>
    <col min="4" max="4" width="11" customWidth="1"/>
    <col min="5" max="5" width="10" customWidth="1"/>
    <col min="6" max="6" width="10.85546875" customWidth="1"/>
    <col min="7" max="7" width="11.28515625" customWidth="1"/>
    <col min="8" max="8" width="11" customWidth="1"/>
  </cols>
  <sheetData>
    <row r="1" spans="1:12" x14ac:dyDescent="0.25">
      <c r="A1" t="s">
        <v>525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526</v>
      </c>
      <c r="K1" s="2" t="s">
        <v>529</v>
      </c>
      <c r="L1" s="2" t="s">
        <v>527</v>
      </c>
    </row>
    <row r="2" spans="1:12" x14ac:dyDescent="0.25">
      <c r="A2" t="s">
        <v>8</v>
      </c>
      <c r="B2" s="1">
        <v>45931</v>
      </c>
      <c r="C2" t="s">
        <v>9</v>
      </c>
      <c r="D2" t="s">
        <v>10</v>
      </c>
      <c r="E2" t="s">
        <v>11</v>
      </c>
      <c r="F2">
        <v>4</v>
      </c>
      <c r="G2">
        <v>2749</v>
      </c>
      <c r="H2">
        <v>10996</v>
      </c>
      <c r="I2">
        <v>2832.12</v>
      </c>
      <c r="J2">
        <v>2025</v>
      </c>
      <c r="K2" t="s">
        <v>528</v>
      </c>
      <c r="L2" t="s">
        <v>530</v>
      </c>
    </row>
    <row r="3" spans="1:12" x14ac:dyDescent="0.25">
      <c r="A3" t="s">
        <v>12</v>
      </c>
      <c r="B3" s="1">
        <v>45747</v>
      </c>
      <c r="C3" t="s">
        <v>13</v>
      </c>
      <c r="D3" t="s">
        <v>10</v>
      </c>
      <c r="E3" t="s">
        <v>11</v>
      </c>
      <c r="F3">
        <v>1</v>
      </c>
      <c r="G3">
        <v>2464</v>
      </c>
      <c r="H3">
        <v>2464</v>
      </c>
      <c r="I3">
        <v>482.18</v>
      </c>
      <c r="J3">
        <f>YEAR(Table1[OrderDate])</f>
        <v>2025</v>
      </c>
      <c r="K3" t="str">
        <f>TEXT(Table1[[#This Row],[OrderDate]],"mmm")</f>
        <v>Mar</v>
      </c>
      <c r="L3" t="str">
        <f>TEXT(Table1[OrderDate],"ddd")</f>
        <v>Mon</v>
      </c>
    </row>
    <row r="4" spans="1:12" x14ac:dyDescent="0.25">
      <c r="A4" t="s">
        <v>14</v>
      </c>
      <c r="B4" s="1">
        <v>45799</v>
      </c>
      <c r="C4" t="s">
        <v>13</v>
      </c>
      <c r="D4" t="s">
        <v>15</v>
      </c>
      <c r="E4" t="s">
        <v>16</v>
      </c>
      <c r="F4">
        <v>6</v>
      </c>
      <c r="G4">
        <v>2983</v>
      </c>
      <c r="H4">
        <v>17898</v>
      </c>
      <c r="I4">
        <v>1469.51</v>
      </c>
      <c r="J4">
        <f>YEAR(Table1[OrderDate])</f>
        <v>2025</v>
      </c>
      <c r="K4" t="str">
        <f>TEXT(Table1[[#This Row],[OrderDate]],"mmm")</f>
        <v>May</v>
      </c>
      <c r="L4" t="str">
        <f>TEXT(Table1[OrderDate],"ddd")</f>
        <v>Thu</v>
      </c>
    </row>
    <row r="5" spans="1:12" x14ac:dyDescent="0.25">
      <c r="A5" t="s">
        <v>17</v>
      </c>
      <c r="B5" s="1">
        <v>45797</v>
      </c>
      <c r="C5" t="s">
        <v>18</v>
      </c>
      <c r="D5" t="s">
        <v>15</v>
      </c>
      <c r="E5" t="s">
        <v>19</v>
      </c>
      <c r="F5">
        <v>4</v>
      </c>
      <c r="G5">
        <v>420</v>
      </c>
      <c r="H5">
        <v>1680</v>
      </c>
      <c r="I5">
        <v>332.13</v>
      </c>
      <c r="J5">
        <f>YEAR(Table1[OrderDate])</f>
        <v>2025</v>
      </c>
      <c r="K5" t="str">
        <f>TEXT(Table1[[#This Row],[OrderDate]],"mmm")</f>
        <v>May</v>
      </c>
      <c r="L5" t="str">
        <f>TEXT(Table1[OrderDate],"ddd")</f>
        <v>Tue</v>
      </c>
    </row>
    <row r="6" spans="1:12" x14ac:dyDescent="0.25">
      <c r="A6" t="s">
        <v>20</v>
      </c>
      <c r="B6" s="1">
        <v>45857</v>
      </c>
      <c r="C6" t="s">
        <v>13</v>
      </c>
      <c r="D6" t="s">
        <v>21</v>
      </c>
      <c r="E6" t="s">
        <v>22</v>
      </c>
      <c r="F6">
        <v>3</v>
      </c>
      <c r="G6">
        <v>1350</v>
      </c>
      <c r="H6">
        <v>4050</v>
      </c>
      <c r="I6">
        <v>713.3</v>
      </c>
      <c r="J6">
        <f>YEAR(Table1[OrderDate])</f>
        <v>2025</v>
      </c>
      <c r="K6" t="str">
        <f>TEXT(Table1[[#This Row],[OrderDate]],"mmm")</f>
        <v>Jul</v>
      </c>
      <c r="L6" t="str">
        <f>TEXT(Table1[OrderDate],"ddd")</f>
        <v>Sat</v>
      </c>
    </row>
    <row r="7" spans="1:12" x14ac:dyDescent="0.25">
      <c r="A7" t="s">
        <v>23</v>
      </c>
      <c r="B7" s="1">
        <v>45948</v>
      </c>
      <c r="C7" t="s">
        <v>18</v>
      </c>
      <c r="D7" t="s">
        <v>21</v>
      </c>
      <c r="E7" t="s">
        <v>24</v>
      </c>
      <c r="F7">
        <v>2</v>
      </c>
      <c r="G7">
        <v>1100</v>
      </c>
      <c r="H7">
        <v>2200</v>
      </c>
      <c r="I7">
        <v>357.86</v>
      </c>
      <c r="J7">
        <f>YEAR(Table1[OrderDate])</f>
        <v>2025</v>
      </c>
      <c r="K7" t="str">
        <f>TEXT(Table1[[#This Row],[OrderDate]],"mmm")</f>
        <v>Oct</v>
      </c>
      <c r="L7" t="str">
        <f>TEXT(Table1[OrderDate],"ddd")</f>
        <v>Sat</v>
      </c>
    </row>
    <row r="8" spans="1:12" x14ac:dyDescent="0.25">
      <c r="A8" t="s">
        <v>25</v>
      </c>
      <c r="B8" s="1">
        <v>45701</v>
      </c>
      <c r="C8" t="s">
        <v>18</v>
      </c>
      <c r="D8" t="s">
        <v>15</v>
      </c>
      <c r="E8" t="s">
        <v>19</v>
      </c>
      <c r="F8">
        <v>9</v>
      </c>
      <c r="G8">
        <v>1230</v>
      </c>
      <c r="H8">
        <v>11070</v>
      </c>
      <c r="I8">
        <v>2935.47</v>
      </c>
      <c r="J8">
        <f>YEAR(Table1[OrderDate])</f>
        <v>2025</v>
      </c>
      <c r="K8" t="str">
        <f>TEXT(Table1[[#This Row],[OrderDate]],"mmm")</f>
        <v>Feb</v>
      </c>
      <c r="L8" t="str">
        <f>TEXT(Table1[OrderDate],"ddd")</f>
        <v>Thu</v>
      </c>
    </row>
    <row r="9" spans="1:12" x14ac:dyDescent="0.25">
      <c r="A9" t="s">
        <v>26</v>
      </c>
      <c r="B9" s="1">
        <v>45828</v>
      </c>
      <c r="C9" t="s">
        <v>13</v>
      </c>
      <c r="D9" t="s">
        <v>15</v>
      </c>
      <c r="E9" t="s">
        <v>19</v>
      </c>
      <c r="F9">
        <v>2</v>
      </c>
      <c r="G9">
        <v>454</v>
      </c>
      <c r="H9">
        <v>908</v>
      </c>
      <c r="I9">
        <v>170.91</v>
      </c>
      <c r="J9">
        <f>YEAR(Table1[OrderDate])</f>
        <v>2025</v>
      </c>
      <c r="K9" t="str">
        <f>TEXT(Table1[[#This Row],[OrderDate]],"mmm")</f>
        <v>Jun</v>
      </c>
      <c r="L9" t="str">
        <f>TEXT(Table1[OrderDate],"ddd")</f>
        <v>Fri</v>
      </c>
    </row>
    <row r="10" spans="1:12" x14ac:dyDescent="0.25">
      <c r="A10" t="s">
        <v>27</v>
      </c>
      <c r="B10" s="1">
        <v>45942</v>
      </c>
      <c r="C10" t="s">
        <v>28</v>
      </c>
      <c r="D10" t="s">
        <v>15</v>
      </c>
      <c r="E10" t="s">
        <v>19</v>
      </c>
      <c r="F10">
        <v>3</v>
      </c>
      <c r="G10">
        <v>3940</v>
      </c>
      <c r="H10">
        <v>11820</v>
      </c>
      <c r="I10">
        <v>1070.8</v>
      </c>
      <c r="J10">
        <f>YEAR(Table1[OrderDate])</f>
        <v>2025</v>
      </c>
      <c r="K10" t="str">
        <f>TEXT(Table1[[#This Row],[OrderDate]],"mmm")</f>
        <v>Oct</v>
      </c>
      <c r="L10" t="str">
        <f>TEXT(Table1[OrderDate],"ddd")</f>
        <v>Sun</v>
      </c>
    </row>
    <row r="11" spans="1:12" x14ac:dyDescent="0.25">
      <c r="A11" t="s">
        <v>29</v>
      </c>
      <c r="B11" s="1">
        <v>45716</v>
      </c>
      <c r="C11" t="s">
        <v>9</v>
      </c>
      <c r="D11" t="s">
        <v>10</v>
      </c>
      <c r="E11" t="s">
        <v>30</v>
      </c>
      <c r="F11">
        <v>10</v>
      </c>
      <c r="G11">
        <v>4254</v>
      </c>
      <c r="H11">
        <v>42540</v>
      </c>
      <c r="I11">
        <v>3494.11</v>
      </c>
      <c r="J11">
        <f>YEAR(Table1[OrderDate])</f>
        <v>2025</v>
      </c>
      <c r="K11" t="str">
        <f>TEXT(Table1[[#This Row],[OrderDate]],"mmm")</f>
        <v>Feb</v>
      </c>
      <c r="L11" t="str">
        <f>TEXT(Table1[OrderDate],"ddd")</f>
        <v>Fri</v>
      </c>
    </row>
    <row r="12" spans="1:12" x14ac:dyDescent="0.25">
      <c r="A12" t="s">
        <v>31</v>
      </c>
      <c r="B12" s="1">
        <v>45867</v>
      </c>
      <c r="C12" t="s">
        <v>9</v>
      </c>
      <c r="D12" t="s">
        <v>15</v>
      </c>
      <c r="E12" t="s">
        <v>19</v>
      </c>
      <c r="F12">
        <v>4</v>
      </c>
      <c r="G12">
        <v>2600</v>
      </c>
      <c r="H12">
        <v>10400</v>
      </c>
      <c r="I12">
        <v>1927.75</v>
      </c>
      <c r="J12">
        <f>YEAR(Table1[OrderDate])</f>
        <v>2025</v>
      </c>
      <c r="K12" t="str">
        <f>TEXT(Table1[[#This Row],[OrderDate]],"mmm")</f>
        <v>Jul</v>
      </c>
      <c r="L12" t="str">
        <f>TEXT(Table1[OrderDate],"ddd")</f>
        <v>Tue</v>
      </c>
    </row>
    <row r="13" spans="1:12" x14ac:dyDescent="0.25">
      <c r="A13" t="s">
        <v>32</v>
      </c>
      <c r="B13" s="1">
        <v>45755</v>
      </c>
      <c r="C13" t="s">
        <v>13</v>
      </c>
      <c r="D13" t="s">
        <v>10</v>
      </c>
      <c r="E13" t="s">
        <v>33</v>
      </c>
      <c r="F13">
        <v>10</v>
      </c>
      <c r="G13">
        <v>3766</v>
      </c>
      <c r="H13">
        <v>37660</v>
      </c>
      <c r="I13">
        <v>5598.39</v>
      </c>
      <c r="J13">
        <f>YEAR(Table1[OrderDate])</f>
        <v>2025</v>
      </c>
      <c r="K13" t="str">
        <f>TEXT(Table1[[#This Row],[OrderDate]],"mmm")</f>
        <v>Apr</v>
      </c>
      <c r="L13" t="str">
        <f>TEXT(Table1[OrderDate],"ddd")</f>
        <v>Tue</v>
      </c>
    </row>
    <row r="14" spans="1:12" x14ac:dyDescent="0.25">
      <c r="A14" t="s">
        <v>34</v>
      </c>
      <c r="B14" s="1">
        <v>46010</v>
      </c>
      <c r="C14" t="s">
        <v>28</v>
      </c>
      <c r="D14" t="s">
        <v>10</v>
      </c>
      <c r="E14" t="s">
        <v>30</v>
      </c>
      <c r="F14">
        <v>10</v>
      </c>
      <c r="G14">
        <v>2336</v>
      </c>
      <c r="H14">
        <v>23360</v>
      </c>
      <c r="I14">
        <v>4991.0200000000004</v>
      </c>
      <c r="J14">
        <f>YEAR(Table1[OrderDate])</f>
        <v>2025</v>
      </c>
      <c r="K14" t="str">
        <f>TEXT(Table1[[#This Row],[OrderDate]],"mmm")</f>
        <v>Dec</v>
      </c>
      <c r="L14" t="str">
        <f>TEXT(Table1[OrderDate],"ddd")</f>
        <v>Fri</v>
      </c>
    </row>
    <row r="15" spans="1:12" x14ac:dyDescent="0.25">
      <c r="A15" t="s">
        <v>35</v>
      </c>
      <c r="B15" s="1">
        <v>45761</v>
      </c>
      <c r="C15" t="s">
        <v>13</v>
      </c>
      <c r="D15" t="s">
        <v>21</v>
      </c>
      <c r="E15" t="s">
        <v>22</v>
      </c>
      <c r="F15">
        <v>10</v>
      </c>
      <c r="G15">
        <v>731</v>
      </c>
      <c r="H15">
        <v>7310</v>
      </c>
      <c r="I15">
        <v>2161.19</v>
      </c>
      <c r="J15">
        <f>YEAR(Table1[OrderDate])</f>
        <v>2025</v>
      </c>
      <c r="K15" t="str">
        <f>TEXT(Table1[[#This Row],[OrderDate]],"mmm")</f>
        <v>Apr</v>
      </c>
      <c r="L15" t="str">
        <f>TEXT(Table1[OrderDate],"ddd")</f>
        <v>Mon</v>
      </c>
    </row>
    <row r="16" spans="1:12" x14ac:dyDescent="0.25">
      <c r="A16" t="s">
        <v>36</v>
      </c>
      <c r="B16" s="1">
        <v>45881</v>
      </c>
      <c r="C16" t="s">
        <v>13</v>
      </c>
      <c r="D16" t="s">
        <v>10</v>
      </c>
      <c r="E16" t="s">
        <v>33</v>
      </c>
      <c r="F16">
        <v>5</v>
      </c>
      <c r="G16">
        <v>2954</v>
      </c>
      <c r="H16">
        <v>14770</v>
      </c>
      <c r="I16">
        <v>2381.15</v>
      </c>
      <c r="J16">
        <f>YEAR(Table1[OrderDate])</f>
        <v>2025</v>
      </c>
      <c r="K16" t="str">
        <f>TEXT(Table1[[#This Row],[OrderDate]],"mmm")</f>
        <v>Aug</v>
      </c>
      <c r="L16" t="str">
        <f>TEXT(Table1[OrderDate],"ddd")</f>
        <v>Tue</v>
      </c>
    </row>
    <row r="17" spans="1:12" x14ac:dyDescent="0.25">
      <c r="A17" t="s">
        <v>37</v>
      </c>
      <c r="B17" s="1">
        <v>45874</v>
      </c>
      <c r="C17" t="s">
        <v>28</v>
      </c>
      <c r="D17" t="s">
        <v>10</v>
      </c>
      <c r="E17" t="s">
        <v>30</v>
      </c>
      <c r="F17">
        <v>2</v>
      </c>
      <c r="G17">
        <v>3661</v>
      </c>
      <c r="H17">
        <v>7322</v>
      </c>
      <c r="I17">
        <v>804.3</v>
      </c>
      <c r="J17">
        <f>YEAR(Table1[OrderDate])</f>
        <v>2025</v>
      </c>
      <c r="K17" t="str">
        <f>TEXT(Table1[[#This Row],[OrderDate]],"mmm")</f>
        <v>Aug</v>
      </c>
      <c r="L17" t="str">
        <f>TEXT(Table1[OrderDate],"ddd")</f>
        <v>Tue</v>
      </c>
    </row>
    <row r="18" spans="1:12" x14ac:dyDescent="0.25">
      <c r="A18" t="s">
        <v>38</v>
      </c>
      <c r="B18" s="1">
        <v>45752</v>
      </c>
      <c r="C18" t="s">
        <v>13</v>
      </c>
      <c r="D18" t="s">
        <v>21</v>
      </c>
      <c r="E18" t="s">
        <v>22</v>
      </c>
      <c r="F18">
        <v>4</v>
      </c>
      <c r="G18">
        <v>3025</v>
      </c>
      <c r="H18">
        <v>12100</v>
      </c>
      <c r="I18">
        <v>3237.09</v>
      </c>
      <c r="J18">
        <f>YEAR(Table1[OrderDate])</f>
        <v>2025</v>
      </c>
      <c r="K18" t="str">
        <f>TEXT(Table1[[#This Row],[OrderDate]],"mmm")</f>
        <v>Apr</v>
      </c>
      <c r="L18" t="str">
        <f>TEXT(Table1[OrderDate],"ddd")</f>
        <v>Sat</v>
      </c>
    </row>
    <row r="19" spans="1:12" x14ac:dyDescent="0.25">
      <c r="A19" t="s">
        <v>39</v>
      </c>
      <c r="B19" s="1">
        <v>45984</v>
      </c>
      <c r="C19" t="s">
        <v>28</v>
      </c>
      <c r="D19" t="s">
        <v>10</v>
      </c>
      <c r="E19" t="s">
        <v>33</v>
      </c>
      <c r="F19">
        <v>1</v>
      </c>
      <c r="G19">
        <v>4320</v>
      </c>
      <c r="H19">
        <v>4320</v>
      </c>
      <c r="I19">
        <v>631.34</v>
      </c>
      <c r="J19">
        <f>YEAR(Table1[OrderDate])</f>
        <v>2025</v>
      </c>
      <c r="K19" t="str">
        <f>TEXT(Table1[[#This Row],[OrderDate]],"mmm")</f>
        <v>Nov</v>
      </c>
      <c r="L19" t="str">
        <f>TEXT(Table1[OrderDate],"ddd")</f>
        <v>Sun</v>
      </c>
    </row>
    <row r="20" spans="1:12" x14ac:dyDescent="0.25">
      <c r="A20" t="s">
        <v>40</v>
      </c>
      <c r="B20" s="1">
        <v>45840</v>
      </c>
      <c r="C20" t="s">
        <v>13</v>
      </c>
      <c r="D20" t="s">
        <v>10</v>
      </c>
      <c r="E20" t="s">
        <v>30</v>
      </c>
      <c r="F20">
        <v>7</v>
      </c>
      <c r="G20">
        <v>321</v>
      </c>
      <c r="H20">
        <v>2247</v>
      </c>
      <c r="I20">
        <v>356.77</v>
      </c>
      <c r="J20">
        <f>YEAR(Table1[OrderDate])</f>
        <v>2025</v>
      </c>
      <c r="K20" t="str">
        <f>TEXT(Table1[[#This Row],[OrderDate]],"mmm")</f>
        <v>Jul</v>
      </c>
      <c r="L20" t="str">
        <f>TEXT(Table1[OrderDate],"ddd")</f>
        <v>Wed</v>
      </c>
    </row>
    <row r="21" spans="1:12" x14ac:dyDescent="0.25">
      <c r="A21" t="s">
        <v>41</v>
      </c>
      <c r="B21" s="1">
        <v>45933</v>
      </c>
      <c r="C21" t="s">
        <v>13</v>
      </c>
      <c r="D21" t="s">
        <v>10</v>
      </c>
      <c r="E21" t="s">
        <v>30</v>
      </c>
      <c r="F21">
        <v>6</v>
      </c>
      <c r="G21">
        <v>1337</v>
      </c>
      <c r="H21">
        <v>8022</v>
      </c>
      <c r="I21">
        <v>1783.39</v>
      </c>
      <c r="J21">
        <f>YEAR(Table1[OrderDate])</f>
        <v>2025</v>
      </c>
      <c r="K21" t="str">
        <f>TEXT(Table1[[#This Row],[OrderDate]],"mmm")</f>
        <v>Oct</v>
      </c>
      <c r="L21" t="str">
        <f>TEXT(Table1[OrderDate],"ddd")</f>
        <v>Fri</v>
      </c>
    </row>
    <row r="22" spans="1:12" x14ac:dyDescent="0.25">
      <c r="A22" t="s">
        <v>42</v>
      </c>
      <c r="B22" s="1">
        <v>45680</v>
      </c>
      <c r="C22" t="s">
        <v>9</v>
      </c>
      <c r="D22" t="s">
        <v>10</v>
      </c>
      <c r="E22" t="s">
        <v>30</v>
      </c>
      <c r="F22">
        <v>10</v>
      </c>
      <c r="G22">
        <v>2517</v>
      </c>
      <c r="H22">
        <v>25170</v>
      </c>
      <c r="I22">
        <v>6611.17</v>
      </c>
      <c r="J22">
        <f>YEAR(Table1[OrderDate])</f>
        <v>2025</v>
      </c>
      <c r="K22" t="str">
        <f>TEXT(Table1[[#This Row],[OrderDate]],"mmm")</f>
        <v>Jan</v>
      </c>
      <c r="L22" t="str">
        <f>TEXT(Table1[OrderDate],"ddd")</f>
        <v>Thu</v>
      </c>
    </row>
    <row r="23" spans="1:12" x14ac:dyDescent="0.25">
      <c r="A23" t="s">
        <v>43</v>
      </c>
      <c r="B23" s="1">
        <v>46005</v>
      </c>
      <c r="C23" t="s">
        <v>18</v>
      </c>
      <c r="D23" t="s">
        <v>15</v>
      </c>
      <c r="E23" t="s">
        <v>16</v>
      </c>
      <c r="F23">
        <v>10</v>
      </c>
      <c r="G23">
        <v>4221</v>
      </c>
      <c r="H23">
        <v>42210</v>
      </c>
      <c r="I23">
        <v>3683.7</v>
      </c>
      <c r="J23">
        <f>YEAR(Table1[OrderDate])</f>
        <v>2025</v>
      </c>
      <c r="K23" t="str">
        <f>TEXT(Table1[[#This Row],[OrderDate]],"mmm")</f>
        <v>Dec</v>
      </c>
      <c r="L23" t="str">
        <f>TEXT(Table1[OrderDate],"ddd")</f>
        <v>Sun</v>
      </c>
    </row>
    <row r="24" spans="1:12" x14ac:dyDescent="0.25">
      <c r="A24" t="s">
        <v>44</v>
      </c>
      <c r="B24" s="1">
        <v>45976</v>
      </c>
      <c r="C24" t="s">
        <v>13</v>
      </c>
      <c r="D24" t="s">
        <v>21</v>
      </c>
      <c r="E24" t="s">
        <v>45</v>
      </c>
      <c r="F24">
        <v>7</v>
      </c>
      <c r="G24">
        <v>333</v>
      </c>
      <c r="H24">
        <v>2331</v>
      </c>
      <c r="I24">
        <v>301.44</v>
      </c>
      <c r="J24">
        <f>YEAR(Table1[OrderDate])</f>
        <v>2025</v>
      </c>
      <c r="K24" t="str">
        <f>TEXT(Table1[[#This Row],[OrderDate]],"mmm")</f>
        <v>Nov</v>
      </c>
      <c r="L24" t="str">
        <f>TEXT(Table1[OrderDate],"ddd")</f>
        <v>Sat</v>
      </c>
    </row>
    <row r="25" spans="1:12" x14ac:dyDescent="0.25">
      <c r="A25" t="s">
        <v>46</v>
      </c>
      <c r="B25" s="1">
        <v>46009</v>
      </c>
      <c r="C25" t="s">
        <v>9</v>
      </c>
      <c r="D25" t="s">
        <v>10</v>
      </c>
      <c r="E25" t="s">
        <v>30</v>
      </c>
      <c r="F25">
        <v>10</v>
      </c>
      <c r="G25">
        <v>641</v>
      </c>
      <c r="H25">
        <v>6410</v>
      </c>
      <c r="I25">
        <v>613.27</v>
      </c>
      <c r="J25">
        <f>YEAR(Table1[OrderDate])</f>
        <v>2025</v>
      </c>
      <c r="K25" t="str">
        <f>TEXT(Table1[[#This Row],[OrderDate]],"mmm")</f>
        <v>Dec</v>
      </c>
      <c r="L25" t="str">
        <f>TEXT(Table1[OrderDate],"ddd")</f>
        <v>Thu</v>
      </c>
    </row>
    <row r="26" spans="1:12" x14ac:dyDescent="0.25">
      <c r="A26" t="s">
        <v>47</v>
      </c>
      <c r="B26" s="1">
        <v>45732</v>
      </c>
      <c r="C26" t="s">
        <v>13</v>
      </c>
      <c r="D26" t="s">
        <v>21</v>
      </c>
      <c r="E26" t="s">
        <v>22</v>
      </c>
      <c r="F26">
        <v>4</v>
      </c>
      <c r="G26">
        <v>2524</v>
      </c>
      <c r="H26">
        <v>10096</v>
      </c>
      <c r="I26">
        <v>1052.0899999999999</v>
      </c>
      <c r="J26">
        <f>YEAR(Table1[OrderDate])</f>
        <v>2025</v>
      </c>
      <c r="K26" t="str">
        <f>TEXT(Table1[[#This Row],[OrderDate]],"mmm")</f>
        <v>Mar</v>
      </c>
      <c r="L26" t="str">
        <f>TEXT(Table1[OrderDate],"ddd")</f>
        <v>Sun</v>
      </c>
    </row>
    <row r="27" spans="1:12" x14ac:dyDescent="0.25">
      <c r="A27" t="s">
        <v>48</v>
      </c>
      <c r="B27" s="1">
        <v>45676</v>
      </c>
      <c r="C27" t="s">
        <v>28</v>
      </c>
      <c r="D27" t="s">
        <v>21</v>
      </c>
      <c r="E27" t="s">
        <v>24</v>
      </c>
      <c r="F27">
        <v>1</v>
      </c>
      <c r="G27">
        <v>301</v>
      </c>
      <c r="H27">
        <v>301</v>
      </c>
      <c r="I27">
        <v>61.22</v>
      </c>
      <c r="J27">
        <f>YEAR(Table1[OrderDate])</f>
        <v>2025</v>
      </c>
      <c r="K27" t="str">
        <f>TEXT(Table1[[#This Row],[OrderDate]],"mmm")</f>
        <v>Jan</v>
      </c>
      <c r="L27" t="str">
        <f>TEXT(Table1[OrderDate],"ddd")</f>
        <v>Sun</v>
      </c>
    </row>
    <row r="28" spans="1:12" x14ac:dyDescent="0.25">
      <c r="A28" t="s">
        <v>49</v>
      </c>
      <c r="B28" s="1">
        <v>45782</v>
      </c>
      <c r="C28" t="s">
        <v>13</v>
      </c>
      <c r="D28" t="s">
        <v>10</v>
      </c>
      <c r="E28" t="s">
        <v>33</v>
      </c>
      <c r="F28">
        <v>8</v>
      </c>
      <c r="G28">
        <v>4355</v>
      </c>
      <c r="H28">
        <v>34840</v>
      </c>
      <c r="I28">
        <v>7779.22</v>
      </c>
      <c r="J28">
        <f>YEAR(Table1[OrderDate])</f>
        <v>2025</v>
      </c>
      <c r="K28" t="str">
        <f>TEXT(Table1[[#This Row],[OrderDate]],"mmm")</f>
        <v>May</v>
      </c>
      <c r="L28" t="str">
        <f>TEXT(Table1[OrderDate],"ddd")</f>
        <v>Mon</v>
      </c>
    </row>
    <row r="29" spans="1:12" x14ac:dyDescent="0.25">
      <c r="A29" t="s">
        <v>50</v>
      </c>
      <c r="B29" s="1">
        <v>45826</v>
      </c>
      <c r="C29" t="s">
        <v>9</v>
      </c>
      <c r="D29" t="s">
        <v>10</v>
      </c>
      <c r="E29" t="s">
        <v>11</v>
      </c>
      <c r="F29">
        <v>3</v>
      </c>
      <c r="G29">
        <v>3393</v>
      </c>
      <c r="H29">
        <v>10179</v>
      </c>
      <c r="I29">
        <v>1424.8</v>
      </c>
      <c r="J29">
        <f>YEAR(Table1[OrderDate])</f>
        <v>2025</v>
      </c>
      <c r="K29" t="str">
        <f>TEXT(Table1[[#This Row],[OrderDate]],"mmm")</f>
        <v>Jun</v>
      </c>
      <c r="L29" t="str">
        <f>TEXT(Table1[OrderDate],"ddd")</f>
        <v>Wed</v>
      </c>
    </row>
    <row r="30" spans="1:12" x14ac:dyDescent="0.25">
      <c r="A30" t="s">
        <v>51</v>
      </c>
      <c r="B30" s="1">
        <v>45761</v>
      </c>
      <c r="C30" t="s">
        <v>9</v>
      </c>
      <c r="D30" t="s">
        <v>15</v>
      </c>
      <c r="E30" t="s">
        <v>16</v>
      </c>
      <c r="F30">
        <v>3</v>
      </c>
      <c r="G30">
        <v>1674</v>
      </c>
      <c r="H30">
        <v>5022</v>
      </c>
      <c r="I30">
        <v>572.87</v>
      </c>
      <c r="J30">
        <f>YEAR(Table1[OrderDate])</f>
        <v>2025</v>
      </c>
      <c r="K30" t="str">
        <f>TEXT(Table1[[#This Row],[OrderDate]],"mmm")</f>
        <v>Apr</v>
      </c>
      <c r="L30" t="str">
        <f>TEXT(Table1[OrderDate],"ddd")</f>
        <v>Mon</v>
      </c>
    </row>
    <row r="31" spans="1:12" x14ac:dyDescent="0.25">
      <c r="A31" t="s">
        <v>52</v>
      </c>
      <c r="B31" s="1">
        <v>45852</v>
      </c>
      <c r="C31" t="s">
        <v>28</v>
      </c>
      <c r="D31" t="s">
        <v>21</v>
      </c>
      <c r="E31" t="s">
        <v>24</v>
      </c>
      <c r="F31">
        <v>4</v>
      </c>
      <c r="G31">
        <v>835</v>
      </c>
      <c r="H31">
        <v>3340</v>
      </c>
      <c r="I31">
        <v>631.77</v>
      </c>
      <c r="J31">
        <f>YEAR(Table1[OrderDate])</f>
        <v>2025</v>
      </c>
      <c r="K31" t="str">
        <f>TEXT(Table1[[#This Row],[OrderDate]],"mmm")</f>
        <v>Jul</v>
      </c>
      <c r="L31" t="str">
        <f>TEXT(Table1[OrderDate],"ddd")</f>
        <v>Mon</v>
      </c>
    </row>
    <row r="32" spans="1:12" x14ac:dyDescent="0.25">
      <c r="A32" t="s">
        <v>53</v>
      </c>
      <c r="B32" s="1">
        <v>45877</v>
      </c>
      <c r="C32" t="s">
        <v>13</v>
      </c>
      <c r="D32" t="s">
        <v>21</v>
      </c>
      <c r="E32" t="s">
        <v>22</v>
      </c>
      <c r="F32">
        <v>7</v>
      </c>
      <c r="G32">
        <v>4412</v>
      </c>
      <c r="H32">
        <v>30884</v>
      </c>
      <c r="I32">
        <v>7057.13</v>
      </c>
      <c r="J32">
        <f>YEAR(Table1[OrderDate])</f>
        <v>2025</v>
      </c>
      <c r="K32" t="str">
        <f>TEXT(Table1[[#This Row],[OrderDate]],"mmm")</f>
        <v>Aug</v>
      </c>
      <c r="L32" t="str">
        <f>TEXT(Table1[OrderDate],"ddd")</f>
        <v>Fri</v>
      </c>
    </row>
    <row r="33" spans="1:12" x14ac:dyDescent="0.25">
      <c r="A33" t="s">
        <v>54</v>
      </c>
      <c r="B33" s="1">
        <v>45776</v>
      </c>
      <c r="C33" t="s">
        <v>28</v>
      </c>
      <c r="D33" t="s">
        <v>15</v>
      </c>
      <c r="E33" t="s">
        <v>16</v>
      </c>
      <c r="F33">
        <v>6</v>
      </c>
      <c r="G33">
        <v>2272</v>
      </c>
      <c r="H33">
        <v>13632</v>
      </c>
      <c r="I33">
        <v>1090.98</v>
      </c>
      <c r="J33">
        <f>YEAR(Table1[OrderDate])</f>
        <v>2025</v>
      </c>
      <c r="K33" t="str">
        <f>TEXT(Table1[[#This Row],[OrderDate]],"mmm")</f>
        <v>Apr</v>
      </c>
      <c r="L33" t="str">
        <f>TEXT(Table1[OrderDate],"ddd")</f>
        <v>Tue</v>
      </c>
    </row>
    <row r="34" spans="1:12" x14ac:dyDescent="0.25">
      <c r="A34" t="s">
        <v>55</v>
      </c>
      <c r="B34" s="1">
        <v>45734</v>
      </c>
      <c r="C34" t="s">
        <v>18</v>
      </c>
      <c r="D34" t="s">
        <v>15</v>
      </c>
      <c r="E34" t="s">
        <v>16</v>
      </c>
      <c r="F34">
        <v>7</v>
      </c>
      <c r="G34">
        <v>438</v>
      </c>
      <c r="H34">
        <v>3066</v>
      </c>
      <c r="I34">
        <v>363.88</v>
      </c>
      <c r="J34">
        <f>YEAR(Table1[OrderDate])</f>
        <v>2025</v>
      </c>
      <c r="K34" t="str">
        <f>TEXT(Table1[[#This Row],[OrderDate]],"mmm")</f>
        <v>Mar</v>
      </c>
      <c r="L34" t="str">
        <f>TEXT(Table1[OrderDate],"ddd")</f>
        <v>Tue</v>
      </c>
    </row>
    <row r="35" spans="1:12" x14ac:dyDescent="0.25">
      <c r="A35" t="s">
        <v>56</v>
      </c>
      <c r="B35" s="1">
        <v>45934</v>
      </c>
      <c r="C35" t="s">
        <v>18</v>
      </c>
      <c r="D35" t="s">
        <v>10</v>
      </c>
      <c r="E35" t="s">
        <v>33</v>
      </c>
      <c r="F35">
        <v>10</v>
      </c>
      <c r="G35">
        <v>3541</v>
      </c>
      <c r="H35">
        <v>35410</v>
      </c>
      <c r="I35">
        <v>8723.9599999999991</v>
      </c>
      <c r="J35">
        <f>YEAR(Table1[OrderDate])</f>
        <v>2025</v>
      </c>
      <c r="K35" t="str">
        <f>TEXT(Table1[[#This Row],[OrderDate]],"mmm")</f>
        <v>Oct</v>
      </c>
      <c r="L35" t="str">
        <f>TEXT(Table1[OrderDate],"ddd")</f>
        <v>Sat</v>
      </c>
    </row>
    <row r="36" spans="1:12" x14ac:dyDescent="0.25">
      <c r="A36" t="s">
        <v>57</v>
      </c>
      <c r="B36" s="1">
        <v>45912</v>
      </c>
      <c r="C36" t="s">
        <v>13</v>
      </c>
      <c r="D36" t="s">
        <v>10</v>
      </c>
      <c r="E36" t="s">
        <v>30</v>
      </c>
      <c r="F36">
        <v>4</v>
      </c>
      <c r="G36">
        <v>4655</v>
      </c>
      <c r="H36">
        <v>18620</v>
      </c>
      <c r="I36">
        <v>3146.66</v>
      </c>
      <c r="J36">
        <f>YEAR(Table1[OrderDate])</f>
        <v>2025</v>
      </c>
      <c r="K36" t="str">
        <f>TEXT(Table1[[#This Row],[OrderDate]],"mmm")</f>
        <v>Sep</v>
      </c>
      <c r="L36" t="str">
        <f>TEXT(Table1[OrderDate],"ddd")</f>
        <v>Fri</v>
      </c>
    </row>
    <row r="37" spans="1:12" x14ac:dyDescent="0.25">
      <c r="A37" t="s">
        <v>58</v>
      </c>
      <c r="B37" s="1">
        <v>45932</v>
      </c>
      <c r="C37" t="s">
        <v>28</v>
      </c>
      <c r="D37" t="s">
        <v>10</v>
      </c>
      <c r="E37" t="s">
        <v>30</v>
      </c>
      <c r="F37">
        <v>7</v>
      </c>
      <c r="G37">
        <v>3972</v>
      </c>
      <c r="H37">
        <v>27804</v>
      </c>
      <c r="I37">
        <v>7372.23</v>
      </c>
      <c r="J37">
        <f>YEAR(Table1[OrderDate])</f>
        <v>2025</v>
      </c>
      <c r="K37" t="str">
        <f>TEXT(Table1[[#This Row],[OrderDate]],"mmm")</f>
        <v>Oct</v>
      </c>
      <c r="L37" t="str">
        <f>TEXT(Table1[OrderDate],"ddd")</f>
        <v>Thu</v>
      </c>
    </row>
    <row r="38" spans="1:12" x14ac:dyDescent="0.25">
      <c r="A38" t="s">
        <v>59</v>
      </c>
      <c r="B38" s="1">
        <v>45887</v>
      </c>
      <c r="C38" t="s">
        <v>13</v>
      </c>
      <c r="D38" t="s">
        <v>21</v>
      </c>
      <c r="E38" t="s">
        <v>24</v>
      </c>
      <c r="F38">
        <v>4</v>
      </c>
      <c r="G38">
        <v>3664</v>
      </c>
      <c r="H38">
        <v>14656</v>
      </c>
      <c r="I38">
        <v>1317.76</v>
      </c>
      <c r="J38">
        <f>YEAR(Table1[OrderDate])</f>
        <v>2025</v>
      </c>
      <c r="K38" t="str">
        <f>TEXT(Table1[[#This Row],[OrderDate]],"mmm")</f>
        <v>Aug</v>
      </c>
      <c r="L38" t="str">
        <f>TEXT(Table1[OrderDate],"ddd")</f>
        <v>Mon</v>
      </c>
    </row>
    <row r="39" spans="1:12" x14ac:dyDescent="0.25">
      <c r="A39" t="s">
        <v>60</v>
      </c>
      <c r="B39" s="1">
        <v>45790</v>
      </c>
      <c r="C39" t="s">
        <v>28</v>
      </c>
      <c r="D39" t="s">
        <v>10</v>
      </c>
      <c r="E39" t="s">
        <v>11</v>
      </c>
      <c r="F39">
        <v>1</v>
      </c>
      <c r="G39">
        <v>3444</v>
      </c>
      <c r="H39">
        <v>3444</v>
      </c>
      <c r="I39">
        <v>288.85000000000002</v>
      </c>
      <c r="J39">
        <f>YEAR(Table1[OrderDate])</f>
        <v>2025</v>
      </c>
      <c r="K39" t="str">
        <f>TEXT(Table1[[#This Row],[OrderDate]],"mmm")</f>
        <v>May</v>
      </c>
      <c r="L39" t="str">
        <f>TEXT(Table1[OrderDate],"ddd")</f>
        <v>Tue</v>
      </c>
    </row>
    <row r="40" spans="1:12" x14ac:dyDescent="0.25">
      <c r="A40" t="s">
        <v>61</v>
      </c>
      <c r="B40" s="1">
        <v>45747</v>
      </c>
      <c r="C40" t="s">
        <v>13</v>
      </c>
      <c r="D40" t="s">
        <v>10</v>
      </c>
      <c r="E40" t="s">
        <v>30</v>
      </c>
      <c r="F40">
        <v>6</v>
      </c>
      <c r="G40">
        <v>692</v>
      </c>
      <c r="H40">
        <v>4152</v>
      </c>
      <c r="I40">
        <v>1053.8699999999999</v>
      </c>
      <c r="J40">
        <f>YEAR(Table1[OrderDate])</f>
        <v>2025</v>
      </c>
      <c r="K40" t="str">
        <f>TEXT(Table1[[#This Row],[OrderDate]],"mmm")</f>
        <v>Mar</v>
      </c>
      <c r="L40" t="str">
        <f>TEXT(Table1[OrderDate],"ddd")</f>
        <v>Mon</v>
      </c>
    </row>
    <row r="41" spans="1:12" x14ac:dyDescent="0.25">
      <c r="A41" t="s">
        <v>62</v>
      </c>
      <c r="B41" s="1">
        <v>45914</v>
      </c>
      <c r="C41" t="s">
        <v>13</v>
      </c>
      <c r="D41" t="s">
        <v>21</v>
      </c>
      <c r="E41" t="s">
        <v>22</v>
      </c>
      <c r="F41">
        <v>1</v>
      </c>
      <c r="G41">
        <v>1601</v>
      </c>
      <c r="H41">
        <v>1601</v>
      </c>
      <c r="I41">
        <v>145.99</v>
      </c>
      <c r="J41">
        <f>YEAR(Table1[OrderDate])</f>
        <v>2025</v>
      </c>
      <c r="K41" t="str">
        <f>TEXT(Table1[[#This Row],[OrderDate]],"mmm")</f>
        <v>Sep</v>
      </c>
      <c r="L41" t="str">
        <f>TEXT(Table1[OrderDate],"ddd")</f>
        <v>Sun</v>
      </c>
    </row>
    <row r="42" spans="1:12" x14ac:dyDescent="0.25">
      <c r="A42" t="s">
        <v>63</v>
      </c>
      <c r="B42" s="1">
        <v>45989</v>
      </c>
      <c r="C42" t="s">
        <v>13</v>
      </c>
      <c r="D42" t="s">
        <v>21</v>
      </c>
      <c r="E42" t="s">
        <v>24</v>
      </c>
      <c r="F42">
        <v>5</v>
      </c>
      <c r="G42">
        <v>2872</v>
      </c>
      <c r="H42">
        <v>14360</v>
      </c>
      <c r="I42">
        <v>1963.33</v>
      </c>
      <c r="J42">
        <f>YEAR(Table1[OrderDate])</f>
        <v>2025</v>
      </c>
      <c r="K42" t="str">
        <f>TEXT(Table1[[#This Row],[OrderDate]],"mmm")</f>
        <v>Nov</v>
      </c>
      <c r="L42" t="str">
        <f>TEXT(Table1[OrderDate],"ddd")</f>
        <v>Fri</v>
      </c>
    </row>
    <row r="43" spans="1:12" x14ac:dyDescent="0.25">
      <c r="A43" t="s">
        <v>64</v>
      </c>
      <c r="B43" s="1">
        <v>45899</v>
      </c>
      <c r="C43" t="s">
        <v>9</v>
      </c>
      <c r="D43" t="s">
        <v>15</v>
      </c>
      <c r="E43" t="s">
        <v>19</v>
      </c>
      <c r="F43">
        <v>4</v>
      </c>
      <c r="G43">
        <v>3708</v>
      </c>
      <c r="H43">
        <v>14832</v>
      </c>
      <c r="I43">
        <v>3834.95</v>
      </c>
      <c r="J43">
        <f>YEAR(Table1[OrderDate])</f>
        <v>2025</v>
      </c>
      <c r="K43" t="str">
        <f>TEXT(Table1[[#This Row],[OrderDate]],"mmm")</f>
        <v>Aug</v>
      </c>
      <c r="L43" t="str">
        <f>TEXT(Table1[OrderDate],"ddd")</f>
        <v>Sat</v>
      </c>
    </row>
    <row r="44" spans="1:12" x14ac:dyDescent="0.25">
      <c r="A44" t="s">
        <v>65</v>
      </c>
      <c r="B44" s="1">
        <v>45904</v>
      </c>
      <c r="C44" t="s">
        <v>28</v>
      </c>
      <c r="D44" t="s">
        <v>21</v>
      </c>
      <c r="E44" t="s">
        <v>22</v>
      </c>
      <c r="F44">
        <v>3</v>
      </c>
      <c r="G44">
        <v>811</v>
      </c>
      <c r="H44">
        <v>2433</v>
      </c>
      <c r="I44">
        <v>212.49</v>
      </c>
      <c r="J44">
        <f>YEAR(Table1[OrderDate])</f>
        <v>2025</v>
      </c>
      <c r="K44" t="str">
        <f>TEXT(Table1[[#This Row],[OrderDate]],"mmm")</f>
        <v>Sep</v>
      </c>
      <c r="L44" t="str">
        <f>TEXT(Table1[OrderDate],"ddd")</f>
        <v>Thu</v>
      </c>
    </row>
    <row r="45" spans="1:12" x14ac:dyDescent="0.25">
      <c r="A45" t="s">
        <v>66</v>
      </c>
      <c r="B45" s="1">
        <v>45690</v>
      </c>
      <c r="C45" t="s">
        <v>18</v>
      </c>
      <c r="D45" t="s">
        <v>21</v>
      </c>
      <c r="E45" t="s">
        <v>24</v>
      </c>
      <c r="F45">
        <v>3</v>
      </c>
      <c r="G45">
        <v>3763</v>
      </c>
      <c r="H45">
        <v>11289</v>
      </c>
      <c r="I45">
        <v>2703.1</v>
      </c>
      <c r="J45">
        <f>YEAR(Table1[OrderDate])</f>
        <v>2025</v>
      </c>
      <c r="K45" t="str">
        <f>TEXT(Table1[[#This Row],[OrderDate]],"mmm")</f>
        <v>Feb</v>
      </c>
      <c r="L45" t="str">
        <f>TEXT(Table1[OrderDate],"ddd")</f>
        <v>Sun</v>
      </c>
    </row>
    <row r="46" spans="1:12" x14ac:dyDescent="0.25">
      <c r="A46" t="s">
        <v>67</v>
      </c>
      <c r="B46" s="1">
        <v>45819</v>
      </c>
      <c r="C46" t="s">
        <v>18</v>
      </c>
      <c r="D46" t="s">
        <v>10</v>
      </c>
      <c r="E46" t="s">
        <v>33</v>
      </c>
      <c r="F46">
        <v>7</v>
      </c>
      <c r="G46">
        <v>4549</v>
      </c>
      <c r="H46">
        <v>31843</v>
      </c>
      <c r="I46">
        <v>6044.98</v>
      </c>
      <c r="J46">
        <f>YEAR(Table1[OrderDate])</f>
        <v>2025</v>
      </c>
      <c r="K46" t="str">
        <f>TEXT(Table1[[#This Row],[OrderDate]],"mmm")</f>
        <v>Jun</v>
      </c>
      <c r="L46" t="str">
        <f>TEXT(Table1[OrderDate],"ddd")</f>
        <v>Wed</v>
      </c>
    </row>
    <row r="47" spans="1:12" x14ac:dyDescent="0.25">
      <c r="A47" t="s">
        <v>68</v>
      </c>
      <c r="B47" s="1">
        <v>45863</v>
      </c>
      <c r="C47" t="s">
        <v>9</v>
      </c>
      <c r="D47" t="s">
        <v>10</v>
      </c>
      <c r="E47" t="s">
        <v>33</v>
      </c>
      <c r="F47">
        <v>6</v>
      </c>
      <c r="G47">
        <v>1804</v>
      </c>
      <c r="H47">
        <v>10824</v>
      </c>
      <c r="I47">
        <v>1632.06</v>
      </c>
      <c r="J47">
        <f>YEAR(Table1[OrderDate])</f>
        <v>2025</v>
      </c>
      <c r="K47" t="str">
        <f>TEXT(Table1[[#This Row],[OrderDate]],"mmm")</f>
        <v>Jul</v>
      </c>
      <c r="L47" t="str">
        <f>TEXT(Table1[OrderDate],"ddd")</f>
        <v>Fri</v>
      </c>
    </row>
    <row r="48" spans="1:12" x14ac:dyDescent="0.25">
      <c r="A48" t="s">
        <v>69</v>
      </c>
      <c r="B48" s="1">
        <v>45744</v>
      </c>
      <c r="C48" t="s">
        <v>9</v>
      </c>
      <c r="D48" t="s">
        <v>10</v>
      </c>
      <c r="E48" t="s">
        <v>33</v>
      </c>
      <c r="F48">
        <v>8</v>
      </c>
      <c r="G48">
        <v>1656</v>
      </c>
      <c r="H48">
        <v>13248</v>
      </c>
      <c r="I48">
        <v>3359.61</v>
      </c>
      <c r="J48">
        <f>YEAR(Table1[OrderDate])</f>
        <v>2025</v>
      </c>
      <c r="K48" t="str">
        <f>TEXT(Table1[[#This Row],[OrderDate]],"mmm")</f>
        <v>Mar</v>
      </c>
      <c r="L48" t="str">
        <f>TEXT(Table1[OrderDate],"ddd")</f>
        <v>Fri</v>
      </c>
    </row>
    <row r="49" spans="1:12" x14ac:dyDescent="0.25">
      <c r="A49" t="s">
        <v>70</v>
      </c>
      <c r="B49" s="1">
        <v>45998</v>
      </c>
      <c r="C49" t="s">
        <v>28</v>
      </c>
      <c r="D49" t="s">
        <v>21</v>
      </c>
      <c r="E49" t="s">
        <v>22</v>
      </c>
      <c r="F49">
        <v>7</v>
      </c>
      <c r="G49">
        <v>3673</v>
      </c>
      <c r="H49">
        <v>25711</v>
      </c>
      <c r="I49">
        <v>7398.45</v>
      </c>
      <c r="J49">
        <f>YEAR(Table1[OrderDate])</f>
        <v>2025</v>
      </c>
      <c r="K49" t="str">
        <f>TEXT(Table1[[#This Row],[OrderDate]],"mmm")</f>
        <v>Dec</v>
      </c>
      <c r="L49" t="str">
        <f>TEXT(Table1[OrderDate],"ddd")</f>
        <v>Sun</v>
      </c>
    </row>
    <row r="50" spans="1:12" x14ac:dyDescent="0.25">
      <c r="A50" t="s">
        <v>71</v>
      </c>
      <c r="B50" s="1">
        <v>46019</v>
      </c>
      <c r="C50" t="s">
        <v>13</v>
      </c>
      <c r="D50" t="s">
        <v>10</v>
      </c>
      <c r="E50" t="s">
        <v>11</v>
      </c>
      <c r="F50">
        <v>4</v>
      </c>
      <c r="G50">
        <v>4269</v>
      </c>
      <c r="H50">
        <v>17076</v>
      </c>
      <c r="I50">
        <v>3675.82</v>
      </c>
      <c r="J50">
        <f>YEAR(Table1[OrderDate])</f>
        <v>2025</v>
      </c>
      <c r="K50" t="str">
        <f>TEXT(Table1[[#This Row],[OrderDate]],"mmm")</f>
        <v>Dec</v>
      </c>
      <c r="L50" t="str">
        <f>TEXT(Table1[OrderDate],"ddd")</f>
        <v>Sun</v>
      </c>
    </row>
    <row r="51" spans="1:12" x14ac:dyDescent="0.25">
      <c r="A51" t="s">
        <v>72</v>
      </c>
      <c r="B51" s="1">
        <v>45986</v>
      </c>
      <c r="C51" t="s">
        <v>18</v>
      </c>
      <c r="D51" t="s">
        <v>15</v>
      </c>
      <c r="E51" t="s">
        <v>19</v>
      </c>
      <c r="F51">
        <v>9</v>
      </c>
      <c r="G51">
        <v>2204</v>
      </c>
      <c r="H51">
        <v>19836</v>
      </c>
      <c r="I51">
        <v>5436.31</v>
      </c>
      <c r="J51">
        <f>YEAR(Table1[OrderDate])</f>
        <v>2025</v>
      </c>
      <c r="K51" t="str">
        <f>TEXT(Table1[[#This Row],[OrderDate]],"mmm")</f>
        <v>Nov</v>
      </c>
      <c r="L51" t="str">
        <f>TEXT(Table1[OrderDate],"ddd")</f>
        <v>Tue</v>
      </c>
    </row>
    <row r="52" spans="1:12" x14ac:dyDescent="0.25">
      <c r="A52" t="s">
        <v>73</v>
      </c>
      <c r="B52" s="1">
        <v>45722</v>
      </c>
      <c r="C52" t="s">
        <v>9</v>
      </c>
      <c r="D52" t="s">
        <v>21</v>
      </c>
      <c r="E52" t="s">
        <v>24</v>
      </c>
      <c r="F52">
        <v>3</v>
      </c>
      <c r="G52">
        <v>4395</v>
      </c>
      <c r="H52">
        <v>13185</v>
      </c>
      <c r="I52">
        <v>3251.11</v>
      </c>
      <c r="J52">
        <f>YEAR(Table1[OrderDate])</f>
        <v>2025</v>
      </c>
      <c r="K52" t="str">
        <f>TEXT(Table1[[#This Row],[OrderDate]],"mmm")</f>
        <v>Mar</v>
      </c>
      <c r="L52" t="str">
        <f>TEXT(Table1[OrderDate],"ddd")</f>
        <v>Thu</v>
      </c>
    </row>
    <row r="53" spans="1:12" x14ac:dyDescent="0.25">
      <c r="A53" t="s">
        <v>74</v>
      </c>
      <c r="B53" s="1">
        <v>45831</v>
      </c>
      <c r="C53" t="s">
        <v>18</v>
      </c>
      <c r="D53" t="s">
        <v>10</v>
      </c>
      <c r="E53" t="s">
        <v>33</v>
      </c>
      <c r="F53">
        <v>2</v>
      </c>
      <c r="G53">
        <v>2672</v>
      </c>
      <c r="H53">
        <v>5344</v>
      </c>
      <c r="I53">
        <v>582.79999999999995</v>
      </c>
      <c r="J53">
        <f>YEAR(Table1[OrderDate])</f>
        <v>2025</v>
      </c>
      <c r="K53" t="str">
        <f>TEXT(Table1[[#This Row],[OrderDate]],"mmm")</f>
        <v>Jun</v>
      </c>
      <c r="L53" t="str">
        <f>TEXT(Table1[OrderDate],"ddd")</f>
        <v>Mon</v>
      </c>
    </row>
    <row r="54" spans="1:12" x14ac:dyDescent="0.25">
      <c r="A54" t="s">
        <v>75</v>
      </c>
      <c r="B54" s="1">
        <v>45927</v>
      </c>
      <c r="C54" t="s">
        <v>28</v>
      </c>
      <c r="D54" t="s">
        <v>10</v>
      </c>
      <c r="E54" t="s">
        <v>30</v>
      </c>
      <c r="F54">
        <v>10</v>
      </c>
      <c r="G54">
        <v>107</v>
      </c>
      <c r="H54">
        <v>1070</v>
      </c>
      <c r="I54">
        <v>278.38</v>
      </c>
      <c r="J54">
        <f>YEAR(Table1[OrderDate])</f>
        <v>2025</v>
      </c>
      <c r="K54" t="str">
        <f>TEXT(Table1[[#This Row],[OrderDate]],"mmm")</f>
        <v>Sep</v>
      </c>
      <c r="L54" t="str">
        <f>TEXT(Table1[OrderDate],"ddd")</f>
        <v>Sat</v>
      </c>
    </row>
    <row r="55" spans="1:12" x14ac:dyDescent="0.25">
      <c r="A55" t="s">
        <v>76</v>
      </c>
      <c r="B55" s="1">
        <v>45880</v>
      </c>
      <c r="C55" t="s">
        <v>28</v>
      </c>
      <c r="D55" t="s">
        <v>15</v>
      </c>
      <c r="E55" t="s">
        <v>16</v>
      </c>
      <c r="F55">
        <v>4</v>
      </c>
      <c r="G55">
        <v>146</v>
      </c>
      <c r="H55">
        <v>584</v>
      </c>
      <c r="I55">
        <v>116.7</v>
      </c>
      <c r="J55">
        <f>YEAR(Table1[OrderDate])</f>
        <v>2025</v>
      </c>
      <c r="K55" t="str">
        <f>TEXT(Table1[[#This Row],[OrderDate]],"mmm")</f>
        <v>Aug</v>
      </c>
      <c r="L55" t="str">
        <f>TEXT(Table1[OrderDate],"ddd")</f>
        <v>Mon</v>
      </c>
    </row>
    <row r="56" spans="1:12" x14ac:dyDescent="0.25">
      <c r="A56" t="s">
        <v>77</v>
      </c>
      <c r="B56" s="1">
        <v>45679</v>
      </c>
      <c r="C56" t="s">
        <v>18</v>
      </c>
      <c r="D56" t="s">
        <v>10</v>
      </c>
      <c r="E56" t="s">
        <v>11</v>
      </c>
      <c r="F56">
        <v>4</v>
      </c>
      <c r="G56">
        <v>4925</v>
      </c>
      <c r="H56">
        <v>19700</v>
      </c>
      <c r="I56">
        <v>3738.27</v>
      </c>
      <c r="J56">
        <f>YEAR(Table1[OrderDate])</f>
        <v>2025</v>
      </c>
      <c r="K56" t="str">
        <f>TEXT(Table1[[#This Row],[OrderDate]],"mmm")</f>
        <v>Jan</v>
      </c>
      <c r="L56" t="str">
        <f>TEXT(Table1[OrderDate],"ddd")</f>
        <v>Wed</v>
      </c>
    </row>
    <row r="57" spans="1:12" x14ac:dyDescent="0.25">
      <c r="A57" t="s">
        <v>78</v>
      </c>
      <c r="B57" s="1">
        <v>45937</v>
      </c>
      <c r="C57" t="s">
        <v>18</v>
      </c>
      <c r="D57" t="s">
        <v>21</v>
      </c>
      <c r="E57" t="s">
        <v>24</v>
      </c>
      <c r="F57">
        <v>10</v>
      </c>
      <c r="G57">
        <v>1054</v>
      </c>
      <c r="H57">
        <v>10540</v>
      </c>
      <c r="I57">
        <v>1965.48</v>
      </c>
      <c r="J57">
        <f>YEAR(Table1[OrderDate])</f>
        <v>2025</v>
      </c>
      <c r="K57" t="str">
        <f>TEXT(Table1[[#This Row],[OrderDate]],"mmm")</f>
        <v>Oct</v>
      </c>
      <c r="L57" t="str">
        <f>TEXT(Table1[OrderDate],"ddd")</f>
        <v>Tue</v>
      </c>
    </row>
    <row r="58" spans="1:12" x14ac:dyDescent="0.25">
      <c r="A58" t="s">
        <v>79</v>
      </c>
      <c r="B58" s="1">
        <v>45911</v>
      </c>
      <c r="C58" t="s">
        <v>18</v>
      </c>
      <c r="D58" t="s">
        <v>15</v>
      </c>
      <c r="E58" t="s">
        <v>80</v>
      </c>
      <c r="F58">
        <v>7</v>
      </c>
      <c r="G58">
        <v>3215</v>
      </c>
      <c r="H58">
        <v>22505</v>
      </c>
      <c r="I58">
        <v>5949.83</v>
      </c>
      <c r="J58">
        <f>YEAR(Table1[OrderDate])</f>
        <v>2025</v>
      </c>
      <c r="K58" t="str">
        <f>TEXT(Table1[[#This Row],[OrderDate]],"mmm")</f>
        <v>Sep</v>
      </c>
      <c r="L58" t="str">
        <f>TEXT(Table1[OrderDate],"ddd")</f>
        <v>Thu</v>
      </c>
    </row>
    <row r="59" spans="1:12" x14ac:dyDescent="0.25">
      <c r="A59" t="s">
        <v>81</v>
      </c>
      <c r="B59" s="1">
        <v>45823</v>
      </c>
      <c r="C59" t="s">
        <v>28</v>
      </c>
      <c r="D59" t="s">
        <v>21</v>
      </c>
      <c r="E59" t="s">
        <v>45</v>
      </c>
      <c r="F59">
        <v>2</v>
      </c>
      <c r="G59">
        <v>3572</v>
      </c>
      <c r="H59">
        <v>7144</v>
      </c>
      <c r="I59">
        <v>1414.39</v>
      </c>
      <c r="J59">
        <f>YEAR(Table1[OrderDate])</f>
        <v>2025</v>
      </c>
      <c r="K59" t="str">
        <f>TEXT(Table1[[#This Row],[OrderDate]],"mmm")</f>
        <v>Jun</v>
      </c>
      <c r="L59" t="str">
        <f>TEXT(Table1[OrderDate],"ddd")</f>
        <v>Sun</v>
      </c>
    </row>
    <row r="60" spans="1:12" x14ac:dyDescent="0.25">
      <c r="A60" t="s">
        <v>82</v>
      </c>
      <c r="B60" s="1">
        <v>45921</v>
      </c>
      <c r="C60" t="s">
        <v>28</v>
      </c>
      <c r="D60" t="s">
        <v>15</v>
      </c>
      <c r="E60" t="s">
        <v>19</v>
      </c>
      <c r="F60">
        <v>5</v>
      </c>
      <c r="G60">
        <v>157</v>
      </c>
      <c r="H60">
        <v>785</v>
      </c>
      <c r="I60">
        <v>194.58</v>
      </c>
      <c r="J60">
        <f>YEAR(Table1[OrderDate])</f>
        <v>2025</v>
      </c>
      <c r="K60" t="str">
        <f>TEXT(Table1[[#This Row],[OrderDate]],"mmm")</f>
        <v>Sep</v>
      </c>
      <c r="L60" t="str">
        <f>TEXT(Table1[OrderDate],"ddd")</f>
        <v>Sun</v>
      </c>
    </row>
    <row r="61" spans="1:12" x14ac:dyDescent="0.25">
      <c r="A61" t="s">
        <v>83</v>
      </c>
      <c r="B61" s="1">
        <v>45770</v>
      </c>
      <c r="C61" t="s">
        <v>18</v>
      </c>
      <c r="D61" t="s">
        <v>21</v>
      </c>
      <c r="E61" t="s">
        <v>22</v>
      </c>
      <c r="F61">
        <v>9</v>
      </c>
      <c r="G61">
        <v>2367</v>
      </c>
      <c r="H61">
        <v>21303</v>
      </c>
      <c r="I61">
        <v>3858.27</v>
      </c>
      <c r="J61">
        <f>YEAR(Table1[OrderDate])</f>
        <v>2025</v>
      </c>
      <c r="K61" t="str">
        <f>TEXT(Table1[[#This Row],[OrderDate]],"mmm")</f>
        <v>Apr</v>
      </c>
      <c r="L61" t="str">
        <f>TEXT(Table1[OrderDate],"ddd")</f>
        <v>Wed</v>
      </c>
    </row>
    <row r="62" spans="1:12" x14ac:dyDescent="0.25">
      <c r="A62" t="s">
        <v>84</v>
      </c>
      <c r="B62" s="1">
        <v>45718</v>
      </c>
      <c r="C62" t="s">
        <v>28</v>
      </c>
      <c r="D62" t="s">
        <v>21</v>
      </c>
      <c r="E62" t="s">
        <v>45</v>
      </c>
      <c r="F62">
        <v>4</v>
      </c>
      <c r="G62">
        <v>466</v>
      </c>
      <c r="H62">
        <v>1864</v>
      </c>
      <c r="I62">
        <v>460.37</v>
      </c>
      <c r="J62">
        <f>YEAR(Table1[OrderDate])</f>
        <v>2025</v>
      </c>
      <c r="K62" t="str">
        <f>TEXT(Table1[[#This Row],[OrderDate]],"mmm")</f>
        <v>Mar</v>
      </c>
      <c r="L62" t="str">
        <f>TEXT(Table1[OrderDate],"ddd")</f>
        <v>Sun</v>
      </c>
    </row>
    <row r="63" spans="1:12" x14ac:dyDescent="0.25">
      <c r="A63" t="s">
        <v>85</v>
      </c>
      <c r="B63" s="1">
        <v>45967</v>
      </c>
      <c r="C63" t="s">
        <v>9</v>
      </c>
      <c r="D63" t="s">
        <v>10</v>
      </c>
      <c r="E63" t="s">
        <v>30</v>
      </c>
      <c r="F63">
        <v>3</v>
      </c>
      <c r="G63">
        <v>846</v>
      </c>
      <c r="H63">
        <v>2538</v>
      </c>
      <c r="I63">
        <v>461.1</v>
      </c>
      <c r="J63">
        <f>YEAR(Table1[OrderDate])</f>
        <v>2025</v>
      </c>
      <c r="K63" t="str">
        <f>TEXT(Table1[[#This Row],[OrderDate]],"mmm")</f>
        <v>Nov</v>
      </c>
      <c r="L63" t="str">
        <f>TEXT(Table1[OrderDate],"ddd")</f>
        <v>Thu</v>
      </c>
    </row>
    <row r="64" spans="1:12" x14ac:dyDescent="0.25">
      <c r="A64" t="s">
        <v>86</v>
      </c>
      <c r="B64" s="1">
        <v>45809</v>
      </c>
      <c r="C64" t="s">
        <v>13</v>
      </c>
      <c r="D64" t="s">
        <v>15</v>
      </c>
      <c r="E64" t="s">
        <v>19</v>
      </c>
      <c r="F64">
        <v>8</v>
      </c>
      <c r="G64">
        <v>656</v>
      </c>
      <c r="H64">
        <v>5248</v>
      </c>
      <c r="I64">
        <v>1316.95</v>
      </c>
      <c r="J64">
        <f>YEAR(Table1[OrderDate])</f>
        <v>2025</v>
      </c>
      <c r="K64" t="str">
        <f>TEXT(Table1[[#This Row],[OrderDate]],"mmm")</f>
        <v>Jun</v>
      </c>
      <c r="L64" t="str">
        <f>TEXT(Table1[OrderDate],"ddd")</f>
        <v>Sun</v>
      </c>
    </row>
    <row r="65" spans="1:12" x14ac:dyDescent="0.25">
      <c r="A65" t="s">
        <v>87</v>
      </c>
      <c r="B65" s="1">
        <v>45827</v>
      </c>
      <c r="C65" t="s">
        <v>9</v>
      </c>
      <c r="D65" t="s">
        <v>21</v>
      </c>
      <c r="E65" t="s">
        <v>88</v>
      </c>
      <c r="F65">
        <v>4</v>
      </c>
      <c r="G65">
        <v>868</v>
      </c>
      <c r="H65">
        <v>3472</v>
      </c>
      <c r="I65">
        <v>287.16000000000003</v>
      </c>
      <c r="J65">
        <f>YEAR(Table1[OrderDate])</f>
        <v>2025</v>
      </c>
      <c r="K65" t="str">
        <f>TEXT(Table1[[#This Row],[OrderDate]],"mmm")</f>
        <v>Jun</v>
      </c>
      <c r="L65" t="str">
        <f>TEXT(Table1[OrderDate],"ddd")</f>
        <v>Thu</v>
      </c>
    </row>
    <row r="66" spans="1:12" x14ac:dyDescent="0.25">
      <c r="A66" t="s">
        <v>89</v>
      </c>
      <c r="B66" s="1">
        <v>45862</v>
      </c>
      <c r="C66" t="s">
        <v>9</v>
      </c>
      <c r="D66" t="s">
        <v>15</v>
      </c>
      <c r="E66" t="s">
        <v>80</v>
      </c>
      <c r="F66">
        <v>7</v>
      </c>
      <c r="G66">
        <v>4076</v>
      </c>
      <c r="H66">
        <v>28532</v>
      </c>
      <c r="I66">
        <v>8430.56</v>
      </c>
      <c r="J66">
        <f>YEAR(Table1[OrderDate])</f>
        <v>2025</v>
      </c>
      <c r="K66" t="str">
        <f>TEXT(Table1[[#This Row],[OrderDate]],"mmm")</f>
        <v>Jul</v>
      </c>
      <c r="L66" t="str">
        <f>TEXT(Table1[OrderDate],"ddd")</f>
        <v>Thu</v>
      </c>
    </row>
    <row r="67" spans="1:12" x14ac:dyDescent="0.25">
      <c r="A67" t="s">
        <v>90</v>
      </c>
      <c r="B67" s="1">
        <v>45785</v>
      </c>
      <c r="C67" t="s">
        <v>13</v>
      </c>
      <c r="D67" t="s">
        <v>15</v>
      </c>
      <c r="E67" t="s">
        <v>19</v>
      </c>
      <c r="F67">
        <v>10</v>
      </c>
      <c r="G67">
        <v>4746</v>
      </c>
      <c r="H67">
        <v>47460</v>
      </c>
      <c r="I67">
        <v>8243.24</v>
      </c>
      <c r="J67">
        <f>YEAR(Table1[OrderDate])</f>
        <v>2025</v>
      </c>
      <c r="K67" t="str">
        <f>TEXT(Table1[[#This Row],[OrderDate]],"mmm")</f>
        <v>May</v>
      </c>
      <c r="L67" t="str">
        <f>TEXT(Table1[OrderDate],"ddd")</f>
        <v>Thu</v>
      </c>
    </row>
    <row r="68" spans="1:12" x14ac:dyDescent="0.25">
      <c r="A68" t="s">
        <v>91</v>
      </c>
      <c r="B68" s="1">
        <v>45797</v>
      </c>
      <c r="C68" t="s">
        <v>9</v>
      </c>
      <c r="D68" t="s">
        <v>10</v>
      </c>
      <c r="E68" t="s">
        <v>33</v>
      </c>
      <c r="F68">
        <v>6</v>
      </c>
      <c r="G68">
        <v>3314</v>
      </c>
      <c r="H68">
        <v>19884</v>
      </c>
      <c r="I68">
        <v>5742.21</v>
      </c>
      <c r="J68">
        <f>YEAR(Table1[OrderDate])</f>
        <v>2025</v>
      </c>
      <c r="K68" t="str">
        <f>TEXT(Table1[[#This Row],[OrderDate]],"mmm")</f>
        <v>May</v>
      </c>
      <c r="L68" t="str">
        <f>TEXT(Table1[OrderDate],"ddd")</f>
        <v>Tue</v>
      </c>
    </row>
    <row r="69" spans="1:12" x14ac:dyDescent="0.25">
      <c r="A69" t="s">
        <v>92</v>
      </c>
      <c r="B69" s="1">
        <v>45912</v>
      </c>
      <c r="C69" t="s">
        <v>13</v>
      </c>
      <c r="D69" t="s">
        <v>15</v>
      </c>
      <c r="E69" t="s">
        <v>80</v>
      </c>
      <c r="F69">
        <v>5</v>
      </c>
      <c r="G69">
        <v>3503</v>
      </c>
      <c r="H69">
        <v>17515</v>
      </c>
      <c r="I69">
        <v>3695.32</v>
      </c>
      <c r="J69">
        <f>YEAR(Table1[OrderDate])</f>
        <v>2025</v>
      </c>
      <c r="K69" t="str">
        <f>TEXT(Table1[[#This Row],[OrderDate]],"mmm")</f>
        <v>Sep</v>
      </c>
      <c r="L69" t="str">
        <f>TEXT(Table1[OrderDate],"ddd")</f>
        <v>Fri</v>
      </c>
    </row>
    <row r="70" spans="1:12" x14ac:dyDescent="0.25">
      <c r="A70" t="s">
        <v>93</v>
      </c>
      <c r="B70" s="1">
        <v>45677</v>
      </c>
      <c r="C70" t="s">
        <v>13</v>
      </c>
      <c r="D70" t="s">
        <v>10</v>
      </c>
      <c r="E70" t="s">
        <v>33</v>
      </c>
      <c r="F70">
        <v>10</v>
      </c>
      <c r="G70">
        <v>3998</v>
      </c>
      <c r="H70">
        <v>39980</v>
      </c>
      <c r="I70">
        <v>4018.85</v>
      </c>
      <c r="J70">
        <f>YEAR(Table1[OrderDate])</f>
        <v>2025</v>
      </c>
      <c r="K70" t="str">
        <f>TEXT(Table1[[#This Row],[OrderDate]],"mmm")</f>
        <v>Jan</v>
      </c>
      <c r="L70" t="str">
        <f>TEXT(Table1[OrderDate],"ddd")</f>
        <v>Mon</v>
      </c>
    </row>
    <row r="71" spans="1:12" x14ac:dyDescent="0.25">
      <c r="A71" t="s">
        <v>94</v>
      </c>
      <c r="B71" s="1">
        <v>45967</v>
      </c>
      <c r="C71" t="s">
        <v>18</v>
      </c>
      <c r="D71" t="s">
        <v>21</v>
      </c>
      <c r="E71" t="s">
        <v>24</v>
      </c>
      <c r="F71">
        <v>2</v>
      </c>
      <c r="G71">
        <v>3430</v>
      </c>
      <c r="H71">
        <v>6860</v>
      </c>
      <c r="I71">
        <v>601.24</v>
      </c>
      <c r="J71">
        <f>YEAR(Table1[OrderDate])</f>
        <v>2025</v>
      </c>
      <c r="K71" t="str">
        <f>TEXT(Table1[[#This Row],[OrderDate]],"mmm")</f>
        <v>Nov</v>
      </c>
      <c r="L71" t="str">
        <f>TEXT(Table1[OrderDate],"ddd")</f>
        <v>Thu</v>
      </c>
    </row>
    <row r="72" spans="1:12" x14ac:dyDescent="0.25">
      <c r="A72" t="s">
        <v>95</v>
      </c>
      <c r="B72" s="1">
        <v>45885</v>
      </c>
      <c r="C72" t="s">
        <v>13</v>
      </c>
      <c r="D72" t="s">
        <v>21</v>
      </c>
      <c r="E72" t="s">
        <v>22</v>
      </c>
      <c r="F72">
        <v>9</v>
      </c>
      <c r="G72">
        <v>905</v>
      </c>
      <c r="H72">
        <v>8145</v>
      </c>
      <c r="I72">
        <v>1712.37</v>
      </c>
      <c r="J72">
        <f>YEAR(Table1[OrderDate])</f>
        <v>2025</v>
      </c>
      <c r="K72" t="str">
        <f>TEXT(Table1[[#This Row],[OrderDate]],"mmm")</f>
        <v>Aug</v>
      </c>
      <c r="L72" t="str">
        <f>TEXT(Table1[OrderDate],"ddd")</f>
        <v>Sat</v>
      </c>
    </row>
    <row r="73" spans="1:12" x14ac:dyDescent="0.25">
      <c r="A73" t="s">
        <v>96</v>
      </c>
      <c r="B73" s="1">
        <v>45698</v>
      </c>
      <c r="C73" t="s">
        <v>9</v>
      </c>
      <c r="D73" t="s">
        <v>21</v>
      </c>
      <c r="E73" t="s">
        <v>22</v>
      </c>
      <c r="F73">
        <v>6</v>
      </c>
      <c r="G73">
        <v>3205</v>
      </c>
      <c r="H73">
        <v>19230</v>
      </c>
      <c r="I73">
        <v>4594.08</v>
      </c>
      <c r="J73">
        <f>YEAR(Table1[OrderDate])</f>
        <v>2025</v>
      </c>
      <c r="K73" t="str">
        <f>TEXT(Table1[[#This Row],[OrderDate]],"mmm")</f>
        <v>Feb</v>
      </c>
      <c r="L73" t="str">
        <f>TEXT(Table1[OrderDate],"ddd")</f>
        <v>Mon</v>
      </c>
    </row>
    <row r="74" spans="1:12" x14ac:dyDescent="0.25">
      <c r="A74" t="s">
        <v>97</v>
      </c>
      <c r="B74" s="1">
        <v>45720</v>
      </c>
      <c r="C74" t="s">
        <v>28</v>
      </c>
      <c r="D74" t="s">
        <v>21</v>
      </c>
      <c r="E74" t="s">
        <v>45</v>
      </c>
      <c r="F74">
        <v>10</v>
      </c>
      <c r="G74">
        <v>4053</v>
      </c>
      <c r="H74">
        <v>40530</v>
      </c>
      <c r="I74">
        <v>5805.32</v>
      </c>
      <c r="J74">
        <f>YEAR(Table1[OrderDate])</f>
        <v>2025</v>
      </c>
      <c r="K74" t="str">
        <f>TEXT(Table1[[#This Row],[OrderDate]],"mmm")</f>
        <v>Mar</v>
      </c>
      <c r="L74" t="str">
        <f>TEXT(Table1[OrderDate],"ddd")</f>
        <v>Tue</v>
      </c>
    </row>
    <row r="75" spans="1:12" x14ac:dyDescent="0.25">
      <c r="A75" t="s">
        <v>98</v>
      </c>
      <c r="B75" s="1">
        <v>46017</v>
      </c>
      <c r="C75" t="s">
        <v>18</v>
      </c>
      <c r="D75" t="s">
        <v>10</v>
      </c>
      <c r="E75" t="s">
        <v>30</v>
      </c>
      <c r="F75">
        <v>6</v>
      </c>
      <c r="G75">
        <v>1734</v>
      </c>
      <c r="H75">
        <v>10404</v>
      </c>
      <c r="I75">
        <v>1558.65</v>
      </c>
      <c r="J75">
        <f>YEAR(Table1[OrderDate])</f>
        <v>2025</v>
      </c>
      <c r="K75" t="str">
        <f>TEXT(Table1[[#This Row],[OrderDate]],"mmm")</f>
        <v>Dec</v>
      </c>
      <c r="L75" t="str">
        <f>TEXT(Table1[OrderDate],"ddd")</f>
        <v>Fri</v>
      </c>
    </row>
    <row r="76" spans="1:12" x14ac:dyDescent="0.25">
      <c r="A76" t="s">
        <v>99</v>
      </c>
      <c r="B76" s="1">
        <v>45826</v>
      </c>
      <c r="C76" t="s">
        <v>28</v>
      </c>
      <c r="D76" t="s">
        <v>21</v>
      </c>
      <c r="E76" t="s">
        <v>88</v>
      </c>
      <c r="F76">
        <v>8</v>
      </c>
      <c r="G76">
        <v>1897</v>
      </c>
      <c r="H76">
        <v>15176</v>
      </c>
      <c r="I76">
        <v>1744.15</v>
      </c>
      <c r="J76">
        <f>YEAR(Table1[OrderDate])</f>
        <v>2025</v>
      </c>
      <c r="K76" t="str">
        <f>TEXT(Table1[[#This Row],[OrderDate]],"mmm")</f>
        <v>Jun</v>
      </c>
      <c r="L76" t="str">
        <f>TEXT(Table1[OrderDate],"ddd")</f>
        <v>Wed</v>
      </c>
    </row>
    <row r="77" spans="1:12" x14ac:dyDescent="0.25">
      <c r="A77" t="s">
        <v>100</v>
      </c>
      <c r="B77" s="1">
        <v>45708</v>
      </c>
      <c r="C77" t="s">
        <v>9</v>
      </c>
      <c r="D77" t="s">
        <v>21</v>
      </c>
      <c r="E77" t="s">
        <v>24</v>
      </c>
      <c r="F77">
        <v>6</v>
      </c>
      <c r="G77">
        <v>2042</v>
      </c>
      <c r="H77">
        <v>12252</v>
      </c>
      <c r="I77">
        <v>3124.69</v>
      </c>
      <c r="J77">
        <f>YEAR(Table1[OrderDate])</f>
        <v>2025</v>
      </c>
      <c r="K77" t="str">
        <f>TEXT(Table1[[#This Row],[OrderDate]],"mmm")</f>
        <v>Feb</v>
      </c>
      <c r="L77" t="str">
        <f>TEXT(Table1[OrderDate],"ddd")</f>
        <v>Thu</v>
      </c>
    </row>
    <row r="78" spans="1:12" x14ac:dyDescent="0.25">
      <c r="A78" t="s">
        <v>101</v>
      </c>
      <c r="B78" s="1">
        <v>45757</v>
      </c>
      <c r="C78" t="s">
        <v>28</v>
      </c>
      <c r="D78" t="s">
        <v>10</v>
      </c>
      <c r="E78" t="s">
        <v>11</v>
      </c>
      <c r="F78">
        <v>3</v>
      </c>
      <c r="G78">
        <v>4028</v>
      </c>
      <c r="H78">
        <v>12084</v>
      </c>
      <c r="I78">
        <v>2473.7399999999998</v>
      </c>
      <c r="J78">
        <f>YEAR(Table1[OrderDate])</f>
        <v>2025</v>
      </c>
      <c r="K78" t="str">
        <f>TEXT(Table1[[#This Row],[OrderDate]],"mmm")</f>
        <v>Apr</v>
      </c>
      <c r="L78" t="str">
        <f>TEXT(Table1[OrderDate],"ddd")</f>
        <v>Thu</v>
      </c>
    </row>
    <row r="79" spans="1:12" x14ac:dyDescent="0.25">
      <c r="A79" t="s">
        <v>102</v>
      </c>
      <c r="B79" s="1">
        <v>45929</v>
      </c>
      <c r="C79" t="s">
        <v>28</v>
      </c>
      <c r="D79" t="s">
        <v>10</v>
      </c>
      <c r="E79" t="s">
        <v>30</v>
      </c>
      <c r="F79">
        <v>1</v>
      </c>
      <c r="G79">
        <v>4443</v>
      </c>
      <c r="H79">
        <v>4443</v>
      </c>
      <c r="I79">
        <v>1178.48</v>
      </c>
      <c r="J79">
        <f>YEAR(Table1[OrderDate])</f>
        <v>2025</v>
      </c>
      <c r="K79" t="str">
        <f>TEXT(Table1[[#This Row],[OrderDate]],"mmm")</f>
        <v>Sep</v>
      </c>
      <c r="L79" t="str">
        <f>TEXT(Table1[OrderDate],"ddd")</f>
        <v>Mon</v>
      </c>
    </row>
    <row r="80" spans="1:12" x14ac:dyDescent="0.25">
      <c r="A80" t="s">
        <v>103</v>
      </c>
      <c r="B80" s="1">
        <v>45909</v>
      </c>
      <c r="C80" t="s">
        <v>13</v>
      </c>
      <c r="D80" t="s">
        <v>21</v>
      </c>
      <c r="E80" t="s">
        <v>22</v>
      </c>
      <c r="F80">
        <v>9</v>
      </c>
      <c r="G80">
        <v>602</v>
      </c>
      <c r="H80">
        <v>5418</v>
      </c>
      <c r="I80">
        <v>673.89</v>
      </c>
      <c r="J80">
        <f>YEAR(Table1[OrderDate])</f>
        <v>2025</v>
      </c>
      <c r="K80" t="str">
        <f>TEXT(Table1[[#This Row],[OrderDate]],"mmm")</f>
        <v>Sep</v>
      </c>
      <c r="L80" t="str">
        <f>TEXT(Table1[OrderDate],"ddd")</f>
        <v>Tue</v>
      </c>
    </row>
    <row r="81" spans="1:12" x14ac:dyDescent="0.25">
      <c r="A81" t="s">
        <v>104</v>
      </c>
      <c r="B81" s="1">
        <v>46016</v>
      </c>
      <c r="C81" t="s">
        <v>28</v>
      </c>
      <c r="D81" t="s">
        <v>21</v>
      </c>
      <c r="E81" t="s">
        <v>22</v>
      </c>
      <c r="F81">
        <v>1</v>
      </c>
      <c r="G81">
        <v>3178</v>
      </c>
      <c r="H81">
        <v>3178</v>
      </c>
      <c r="I81">
        <v>698.4</v>
      </c>
      <c r="J81">
        <f>YEAR(Table1[OrderDate])</f>
        <v>2025</v>
      </c>
      <c r="K81" t="str">
        <f>TEXT(Table1[[#This Row],[OrderDate]],"mmm")</f>
        <v>Dec</v>
      </c>
      <c r="L81" t="str">
        <f>TEXT(Table1[OrderDate],"ddd")</f>
        <v>Thu</v>
      </c>
    </row>
    <row r="82" spans="1:12" x14ac:dyDescent="0.25">
      <c r="A82" t="s">
        <v>105</v>
      </c>
      <c r="B82" s="1">
        <v>45713</v>
      </c>
      <c r="C82" t="s">
        <v>28</v>
      </c>
      <c r="D82" t="s">
        <v>10</v>
      </c>
      <c r="E82" t="s">
        <v>33</v>
      </c>
      <c r="F82">
        <v>7</v>
      </c>
      <c r="G82">
        <v>780</v>
      </c>
      <c r="H82">
        <v>5460</v>
      </c>
      <c r="I82">
        <v>1452.2</v>
      </c>
      <c r="J82">
        <f>YEAR(Table1[OrderDate])</f>
        <v>2025</v>
      </c>
      <c r="K82" t="str">
        <f>TEXT(Table1[[#This Row],[OrderDate]],"mmm")</f>
        <v>Feb</v>
      </c>
      <c r="L82" t="str">
        <f>TEXT(Table1[OrderDate],"ddd")</f>
        <v>Tue</v>
      </c>
    </row>
    <row r="83" spans="1:12" x14ac:dyDescent="0.25">
      <c r="A83" t="s">
        <v>106</v>
      </c>
      <c r="B83" s="1">
        <v>45862</v>
      </c>
      <c r="C83" t="s">
        <v>28</v>
      </c>
      <c r="D83" t="s">
        <v>21</v>
      </c>
      <c r="E83" t="s">
        <v>24</v>
      </c>
      <c r="F83">
        <v>6</v>
      </c>
      <c r="G83">
        <v>3100</v>
      </c>
      <c r="H83">
        <v>18600</v>
      </c>
      <c r="I83">
        <v>2187.59</v>
      </c>
      <c r="J83">
        <f>YEAR(Table1[OrderDate])</f>
        <v>2025</v>
      </c>
      <c r="K83" t="str">
        <f>TEXT(Table1[[#This Row],[OrderDate]],"mmm")</f>
        <v>Jul</v>
      </c>
      <c r="L83" t="str">
        <f>TEXT(Table1[OrderDate],"ddd")</f>
        <v>Thu</v>
      </c>
    </row>
    <row r="84" spans="1:12" x14ac:dyDescent="0.25">
      <c r="A84" t="s">
        <v>107</v>
      </c>
      <c r="B84" s="1">
        <v>45744</v>
      </c>
      <c r="C84" t="s">
        <v>9</v>
      </c>
      <c r="D84" t="s">
        <v>21</v>
      </c>
      <c r="E84" t="s">
        <v>22</v>
      </c>
      <c r="F84">
        <v>7</v>
      </c>
      <c r="G84">
        <v>2747</v>
      </c>
      <c r="H84">
        <v>19229</v>
      </c>
      <c r="I84">
        <v>1832.08</v>
      </c>
      <c r="J84">
        <f>YEAR(Table1[OrderDate])</f>
        <v>2025</v>
      </c>
      <c r="K84" t="str">
        <f>TEXT(Table1[[#This Row],[OrderDate]],"mmm")</f>
        <v>Mar</v>
      </c>
      <c r="L84" t="str">
        <f>TEXT(Table1[OrderDate],"ddd")</f>
        <v>Fri</v>
      </c>
    </row>
    <row r="85" spans="1:12" x14ac:dyDescent="0.25">
      <c r="A85" t="s">
        <v>108</v>
      </c>
      <c r="B85" s="1">
        <v>45844</v>
      </c>
      <c r="C85" t="s">
        <v>9</v>
      </c>
      <c r="D85" t="s">
        <v>21</v>
      </c>
      <c r="E85" t="s">
        <v>22</v>
      </c>
      <c r="F85">
        <v>3</v>
      </c>
      <c r="G85">
        <v>1845</v>
      </c>
      <c r="H85">
        <v>5535</v>
      </c>
      <c r="I85">
        <v>894.78</v>
      </c>
      <c r="J85">
        <f>YEAR(Table1[OrderDate])</f>
        <v>2025</v>
      </c>
      <c r="K85" t="str">
        <f>TEXT(Table1[[#This Row],[OrderDate]],"mmm")</f>
        <v>Jul</v>
      </c>
      <c r="L85" t="str">
        <f>TEXT(Table1[OrderDate],"ddd")</f>
        <v>Sun</v>
      </c>
    </row>
    <row r="86" spans="1:12" x14ac:dyDescent="0.25">
      <c r="A86" t="s">
        <v>109</v>
      </c>
      <c r="B86" s="1">
        <v>45826</v>
      </c>
      <c r="C86" t="s">
        <v>28</v>
      </c>
      <c r="D86" t="s">
        <v>10</v>
      </c>
      <c r="E86" t="s">
        <v>33</v>
      </c>
      <c r="F86">
        <v>5</v>
      </c>
      <c r="G86">
        <v>2209</v>
      </c>
      <c r="H86">
        <v>11045</v>
      </c>
      <c r="I86">
        <v>2525.0700000000002</v>
      </c>
      <c r="J86">
        <f>YEAR(Table1[OrderDate])</f>
        <v>2025</v>
      </c>
      <c r="K86" t="str">
        <f>TEXT(Table1[[#This Row],[OrderDate]],"mmm")</f>
        <v>Jun</v>
      </c>
      <c r="L86" t="str">
        <f>TEXT(Table1[OrderDate],"ddd")</f>
        <v>Wed</v>
      </c>
    </row>
    <row r="87" spans="1:12" x14ac:dyDescent="0.25">
      <c r="A87" t="s">
        <v>110</v>
      </c>
      <c r="B87" s="1">
        <v>45758</v>
      </c>
      <c r="C87" t="s">
        <v>9</v>
      </c>
      <c r="D87" t="s">
        <v>10</v>
      </c>
      <c r="E87" t="s">
        <v>33</v>
      </c>
      <c r="F87">
        <v>10</v>
      </c>
      <c r="G87">
        <v>1380</v>
      </c>
      <c r="H87">
        <v>13800</v>
      </c>
      <c r="I87">
        <v>1251.97</v>
      </c>
      <c r="J87">
        <f>YEAR(Table1[OrderDate])</f>
        <v>2025</v>
      </c>
      <c r="K87" t="str">
        <f>TEXT(Table1[[#This Row],[OrderDate]],"mmm")</f>
        <v>Apr</v>
      </c>
      <c r="L87" t="str">
        <f>TEXT(Table1[OrderDate],"ddd")</f>
        <v>Fri</v>
      </c>
    </row>
    <row r="88" spans="1:12" x14ac:dyDescent="0.25">
      <c r="A88" t="s">
        <v>111</v>
      </c>
      <c r="B88" s="1">
        <v>45739</v>
      </c>
      <c r="C88" t="s">
        <v>18</v>
      </c>
      <c r="D88" t="s">
        <v>21</v>
      </c>
      <c r="E88" t="s">
        <v>24</v>
      </c>
      <c r="F88">
        <v>2</v>
      </c>
      <c r="G88">
        <v>4724</v>
      </c>
      <c r="H88">
        <v>9448</v>
      </c>
      <c r="I88">
        <v>1051.6199999999999</v>
      </c>
      <c r="J88">
        <f>YEAR(Table1[OrderDate])</f>
        <v>2025</v>
      </c>
      <c r="K88" t="str">
        <f>TEXT(Table1[[#This Row],[OrderDate]],"mmm")</f>
        <v>Mar</v>
      </c>
      <c r="L88" t="str">
        <f>TEXT(Table1[OrderDate],"ddd")</f>
        <v>Sun</v>
      </c>
    </row>
    <row r="89" spans="1:12" x14ac:dyDescent="0.25">
      <c r="A89" t="s">
        <v>112</v>
      </c>
      <c r="B89" s="1">
        <v>45679</v>
      </c>
      <c r="C89" t="s">
        <v>9</v>
      </c>
      <c r="D89" t="s">
        <v>10</v>
      </c>
      <c r="E89" t="s">
        <v>11</v>
      </c>
      <c r="F89">
        <v>6</v>
      </c>
      <c r="G89">
        <v>370</v>
      </c>
      <c r="H89">
        <v>2220</v>
      </c>
      <c r="I89">
        <v>624.1</v>
      </c>
      <c r="J89">
        <f>YEAR(Table1[OrderDate])</f>
        <v>2025</v>
      </c>
      <c r="K89" t="str">
        <f>TEXT(Table1[[#This Row],[OrderDate]],"mmm")</f>
        <v>Jan</v>
      </c>
      <c r="L89" t="str">
        <f>TEXT(Table1[OrderDate],"ddd")</f>
        <v>Wed</v>
      </c>
    </row>
    <row r="90" spans="1:12" x14ac:dyDescent="0.25">
      <c r="A90" t="s">
        <v>113</v>
      </c>
      <c r="B90" s="1">
        <v>45941</v>
      </c>
      <c r="C90" t="s">
        <v>28</v>
      </c>
      <c r="D90" t="s">
        <v>15</v>
      </c>
      <c r="E90" t="s">
        <v>16</v>
      </c>
      <c r="F90">
        <v>5</v>
      </c>
      <c r="G90">
        <v>4226</v>
      </c>
      <c r="H90">
        <v>21130</v>
      </c>
      <c r="I90">
        <v>4803.04</v>
      </c>
      <c r="J90">
        <f>YEAR(Table1[OrderDate])</f>
        <v>2025</v>
      </c>
      <c r="K90" t="str">
        <f>TEXT(Table1[[#This Row],[OrderDate]],"mmm")</f>
        <v>Oct</v>
      </c>
      <c r="L90" t="str">
        <f>TEXT(Table1[OrderDate],"ddd")</f>
        <v>Sat</v>
      </c>
    </row>
    <row r="91" spans="1:12" x14ac:dyDescent="0.25">
      <c r="A91" t="s">
        <v>114</v>
      </c>
      <c r="B91" s="1">
        <v>45848</v>
      </c>
      <c r="C91" t="s">
        <v>9</v>
      </c>
      <c r="D91" t="s">
        <v>10</v>
      </c>
      <c r="E91" t="s">
        <v>30</v>
      </c>
      <c r="F91">
        <v>4</v>
      </c>
      <c r="G91">
        <v>2608</v>
      </c>
      <c r="H91">
        <v>10432</v>
      </c>
      <c r="I91">
        <v>1010.72</v>
      </c>
      <c r="J91">
        <f>YEAR(Table1[OrderDate])</f>
        <v>2025</v>
      </c>
      <c r="K91" t="str">
        <f>TEXT(Table1[[#This Row],[OrderDate]],"mmm")</f>
        <v>Jul</v>
      </c>
      <c r="L91" t="str">
        <f>TEXT(Table1[OrderDate],"ddd")</f>
        <v>Thu</v>
      </c>
    </row>
    <row r="92" spans="1:12" x14ac:dyDescent="0.25">
      <c r="A92" t="s">
        <v>115</v>
      </c>
      <c r="B92" s="1">
        <v>45675</v>
      </c>
      <c r="C92" t="s">
        <v>13</v>
      </c>
      <c r="D92" t="s">
        <v>21</v>
      </c>
      <c r="E92" t="s">
        <v>22</v>
      </c>
      <c r="F92">
        <v>10</v>
      </c>
      <c r="G92">
        <v>777</v>
      </c>
      <c r="H92">
        <v>7770</v>
      </c>
      <c r="I92">
        <v>1981.56</v>
      </c>
      <c r="J92">
        <f>YEAR(Table1[OrderDate])</f>
        <v>2025</v>
      </c>
      <c r="K92" t="str">
        <f>TEXT(Table1[[#This Row],[OrderDate]],"mmm")</f>
        <v>Jan</v>
      </c>
      <c r="L92" t="str">
        <f>TEXT(Table1[OrderDate],"ddd")</f>
        <v>Sat</v>
      </c>
    </row>
    <row r="93" spans="1:12" x14ac:dyDescent="0.25">
      <c r="A93" t="s">
        <v>116</v>
      </c>
      <c r="B93" s="1">
        <v>45915</v>
      </c>
      <c r="C93" t="s">
        <v>18</v>
      </c>
      <c r="D93" t="s">
        <v>15</v>
      </c>
      <c r="E93" t="s">
        <v>16</v>
      </c>
      <c r="F93">
        <v>8</v>
      </c>
      <c r="G93">
        <v>3741</v>
      </c>
      <c r="H93">
        <v>29928</v>
      </c>
      <c r="I93">
        <v>3174.24</v>
      </c>
      <c r="J93">
        <f>YEAR(Table1[OrderDate])</f>
        <v>2025</v>
      </c>
      <c r="K93" t="str">
        <f>TEXT(Table1[[#This Row],[OrderDate]],"mmm")</f>
        <v>Sep</v>
      </c>
      <c r="L93" t="str">
        <f>TEXT(Table1[OrderDate],"ddd")</f>
        <v>Mon</v>
      </c>
    </row>
    <row r="94" spans="1:12" x14ac:dyDescent="0.25">
      <c r="A94" t="s">
        <v>117</v>
      </c>
      <c r="B94" s="1">
        <v>45717</v>
      </c>
      <c r="C94" t="s">
        <v>9</v>
      </c>
      <c r="D94" t="s">
        <v>21</v>
      </c>
      <c r="E94" t="s">
        <v>45</v>
      </c>
      <c r="F94">
        <v>4</v>
      </c>
      <c r="G94">
        <v>2864</v>
      </c>
      <c r="H94">
        <v>11456</v>
      </c>
      <c r="I94">
        <v>2421.61</v>
      </c>
      <c r="J94">
        <f>YEAR(Table1[OrderDate])</f>
        <v>2025</v>
      </c>
      <c r="K94" t="str">
        <f>TEXT(Table1[[#This Row],[OrderDate]],"mmm")</f>
        <v>Mar</v>
      </c>
      <c r="L94" t="str">
        <f>TEXT(Table1[OrderDate],"ddd")</f>
        <v>Sat</v>
      </c>
    </row>
    <row r="95" spans="1:12" x14ac:dyDescent="0.25">
      <c r="A95" t="s">
        <v>118</v>
      </c>
      <c r="B95" s="1">
        <v>45824</v>
      </c>
      <c r="C95" t="s">
        <v>28</v>
      </c>
      <c r="D95" t="s">
        <v>10</v>
      </c>
      <c r="E95" t="s">
        <v>33</v>
      </c>
      <c r="F95">
        <v>8</v>
      </c>
      <c r="G95">
        <v>1755</v>
      </c>
      <c r="H95">
        <v>14040</v>
      </c>
      <c r="I95">
        <v>1916.24</v>
      </c>
      <c r="J95">
        <f>YEAR(Table1[OrderDate])</f>
        <v>2025</v>
      </c>
      <c r="K95" t="str">
        <f>TEXT(Table1[[#This Row],[OrderDate]],"mmm")</f>
        <v>Jun</v>
      </c>
      <c r="L95" t="str">
        <f>TEXT(Table1[OrderDate],"ddd")</f>
        <v>Mon</v>
      </c>
    </row>
    <row r="96" spans="1:12" x14ac:dyDescent="0.25">
      <c r="A96" t="s">
        <v>119</v>
      </c>
      <c r="B96" s="1">
        <v>45775</v>
      </c>
      <c r="C96" t="s">
        <v>28</v>
      </c>
      <c r="D96" t="s">
        <v>21</v>
      </c>
      <c r="E96" t="s">
        <v>88</v>
      </c>
      <c r="F96">
        <v>7</v>
      </c>
      <c r="G96">
        <v>4445</v>
      </c>
      <c r="H96">
        <v>31115</v>
      </c>
      <c r="I96">
        <v>7818.53</v>
      </c>
      <c r="J96">
        <f>YEAR(Table1[OrderDate])</f>
        <v>2025</v>
      </c>
      <c r="K96" t="str">
        <f>TEXT(Table1[[#This Row],[OrderDate]],"mmm")</f>
        <v>Apr</v>
      </c>
      <c r="L96" t="str">
        <f>TEXT(Table1[OrderDate],"ddd")</f>
        <v>Mon</v>
      </c>
    </row>
    <row r="97" spans="1:12" x14ac:dyDescent="0.25">
      <c r="A97" t="s">
        <v>120</v>
      </c>
      <c r="B97" s="1">
        <v>45975</v>
      </c>
      <c r="C97" t="s">
        <v>9</v>
      </c>
      <c r="D97" t="s">
        <v>10</v>
      </c>
      <c r="E97" t="s">
        <v>11</v>
      </c>
      <c r="F97">
        <v>5</v>
      </c>
      <c r="G97">
        <v>1364</v>
      </c>
      <c r="H97">
        <v>6820</v>
      </c>
      <c r="I97">
        <v>770.71</v>
      </c>
      <c r="J97">
        <f>YEAR(Table1[OrderDate])</f>
        <v>2025</v>
      </c>
      <c r="K97" t="str">
        <f>TEXT(Table1[[#This Row],[OrderDate]],"mmm")</f>
        <v>Nov</v>
      </c>
      <c r="L97" t="str">
        <f>TEXT(Table1[OrderDate],"ddd")</f>
        <v>Fri</v>
      </c>
    </row>
    <row r="98" spans="1:12" x14ac:dyDescent="0.25">
      <c r="A98" t="s">
        <v>121</v>
      </c>
      <c r="B98" s="1">
        <v>45905</v>
      </c>
      <c r="C98" t="s">
        <v>28</v>
      </c>
      <c r="D98" t="s">
        <v>10</v>
      </c>
      <c r="E98" t="s">
        <v>30</v>
      </c>
      <c r="F98">
        <v>9</v>
      </c>
      <c r="G98">
        <v>3547</v>
      </c>
      <c r="H98">
        <v>31923</v>
      </c>
      <c r="I98">
        <v>4439.12</v>
      </c>
      <c r="J98">
        <f>YEAR(Table1[OrderDate])</f>
        <v>2025</v>
      </c>
      <c r="K98" t="str">
        <f>TEXT(Table1[[#This Row],[OrderDate]],"mmm")</f>
        <v>Sep</v>
      </c>
      <c r="L98" t="str">
        <f>TEXT(Table1[OrderDate],"ddd")</f>
        <v>Fri</v>
      </c>
    </row>
    <row r="99" spans="1:12" x14ac:dyDescent="0.25">
      <c r="A99" t="s">
        <v>122</v>
      </c>
      <c r="B99" s="1">
        <v>45988</v>
      </c>
      <c r="C99" t="s">
        <v>9</v>
      </c>
      <c r="D99" t="s">
        <v>21</v>
      </c>
      <c r="E99" t="s">
        <v>24</v>
      </c>
      <c r="F99">
        <v>7</v>
      </c>
      <c r="G99">
        <v>3298</v>
      </c>
      <c r="H99">
        <v>23086</v>
      </c>
      <c r="I99">
        <v>4568.09</v>
      </c>
      <c r="J99">
        <f>YEAR(Table1[OrderDate])</f>
        <v>2025</v>
      </c>
      <c r="K99" t="str">
        <f>TEXT(Table1[[#This Row],[OrderDate]],"mmm")</f>
        <v>Nov</v>
      </c>
      <c r="L99" t="str">
        <f>TEXT(Table1[OrderDate],"ddd")</f>
        <v>Thu</v>
      </c>
    </row>
    <row r="100" spans="1:12" x14ac:dyDescent="0.25">
      <c r="A100" t="s">
        <v>123</v>
      </c>
      <c r="B100" s="1">
        <v>45889</v>
      </c>
      <c r="C100" t="s">
        <v>28</v>
      </c>
      <c r="D100" t="s">
        <v>15</v>
      </c>
      <c r="E100" t="s">
        <v>16</v>
      </c>
      <c r="F100">
        <v>5</v>
      </c>
      <c r="G100">
        <v>1239</v>
      </c>
      <c r="H100">
        <v>6195</v>
      </c>
      <c r="I100">
        <v>990.87</v>
      </c>
      <c r="J100">
        <f>YEAR(Table1[OrderDate])</f>
        <v>2025</v>
      </c>
      <c r="K100" t="str">
        <f>TEXT(Table1[[#This Row],[OrderDate]],"mmm")</f>
        <v>Aug</v>
      </c>
      <c r="L100" t="str">
        <f>TEXT(Table1[OrderDate],"ddd")</f>
        <v>Wed</v>
      </c>
    </row>
    <row r="101" spans="1:12" x14ac:dyDescent="0.25">
      <c r="A101" t="s">
        <v>124</v>
      </c>
      <c r="B101" s="1">
        <v>45802</v>
      </c>
      <c r="C101" t="s">
        <v>18</v>
      </c>
      <c r="D101" t="s">
        <v>15</v>
      </c>
      <c r="E101" t="s">
        <v>80</v>
      </c>
      <c r="F101">
        <v>3</v>
      </c>
      <c r="G101">
        <v>2100</v>
      </c>
      <c r="H101">
        <v>6300</v>
      </c>
      <c r="I101">
        <v>1299.3399999999999</v>
      </c>
      <c r="J101">
        <f>YEAR(Table1[OrderDate])</f>
        <v>2025</v>
      </c>
      <c r="K101" t="str">
        <f>TEXT(Table1[[#This Row],[OrderDate]],"mmm")</f>
        <v>May</v>
      </c>
      <c r="L101" t="str">
        <f>TEXT(Table1[OrderDate],"ddd")</f>
        <v>Sun</v>
      </c>
    </row>
    <row r="102" spans="1:12" x14ac:dyDescent="0.25">
      <c r="A102" t="s">
        <v>125</v>
      </c>
      <c r="B102" s="1">
        <v>45939</v>
      </c>
      <c r="C102" t="s">
        <v>18</v>
      </c>
      <c r="D102" t="s">
        <v>10</v>
      </c>
      <c r="E102" t="s">
        <v>30</v>
      </c>
      <c r="F102">
        <v>4</v>
      </c>
      <c r="G102">
        <v>4256</v>
      </c>
      <c r="H102">
        <v>17024</v>
      </c>
      <c r="I102">
        <v>2587.9899999999998</v>
      </c>
      <c r="J102">
        <f>YEAR(Table1[OrderDate])</f>
        <v>2025</v>
      </c>
      <c r="K102" t="str">
        <f>TEXT(Table1[[#This Row],[OrderDate]],"mmm")</f>
        <v>Oct</v>
      </c>
      <c r="L102" t="str">
        <f>TEXT(Table1[OrderDate],"ddd")</f>
        <v>Thu</v>
      </c>
    </row>
    <row r="103" spans="1:12" x14ac:dyDescent="0.25">
      <c r="A103" t="s">
        <v>126</v>
      </c>
      <c r="B103" s="1">
        <v>45724</v>
      </c>
      <c r="C103" t="s">
        <v>9</v>
      </c>
      <c r="D103" t="s">
        <v>10</v>
      </c>
      <c r="E103" t="s">
        <v>30</v>
      </c>
      <c r="F103">
        <v>1</v>
      </c>
      <c r="G103">
        <v>3830</v>
      </c>
      <c r="H103">
        <v>3830</v>
      </c>
      <c r="I103">
        <v>378.4</v>
      </c>
      <c r="J103">
        <f>YEAR(Table1[OrderDate])</f>
        <v>2025</v>
      </c>
      <c r="K103" t="str">
        <f>TEXT(Table1[[#This Row],[OrderDate]],"mmm")</f>
        <v>Mar</v>
      </c>
      <c r="L103" t="str">
        <f>TEXT(Table1[OrderDate],"ddd")</f>
        <v>Sat</v>
      </c>
    </row>
    <row r="104" spans="1:12" x14ac:dyDescent="0.25">
      <c r="A104" t="s">
        <v>127</v>
      </c>
      <c r="B104" s="1">
        <v>45850</v>
      </c>
      <c r="C104" t="s">
        <v>13</v>
      </c>
      <c r="D104" t="s">
        <v>15</v>
      </c>
      <c r="E104" t="s">
        <v>80</v>
      </c>
      <c r="F104">
        <v>2</v>
      </c>
      <c r="G104">
        <v>876</v>
      </c>
      <c r="H104">
        <v>1752</v>
      </c>
      <c r="I104">
        <v>415.4</v>
      </c>
      <c r="J104">
        <f>YEAR(Table1[OrderDate])</f>
        <v>2025</v>
      </c>
      <c r="K104" t="str">
        <f>TEXT(Table1[[#This Row],[OrderDate]],"mmm")</f>
        <v>Jul</v>
      </c>
      <c r="L104" t="str">
        <f>TEXT(Table1[OrderDate],"ddd")</f>
        <v>Sat</v>
      </c>
    </row>
    <row r="105" spans="1:12" x14ac:dyDescent="0.25">
      <c r="A105" t="s">
        <v>128</v>
      </c>
      <c r="B105" s="1">
        <v>45740</v>
      </c>
      <c r="C105" t="s">
        <v>9</v>
      </c>
      <c r="D105" t="s">
        <v>15</v>
      </c>
      <c r="E105" t="s">
        <v>19</v>
      </c>
      <c r="F105">
        <v>10</v>
      </c>
      <c r="G105">
        <v>153</v>
      </c>
      <c r="H105">
        <v>1530</v>
      </c>
      <c r="I105">
        <v>415.85</v>
      </c>
      <c r="J105">
        <f>YEAR(Table1[OrderDate])</f>
        <v>2025</v>
      </c>
      <c r="K105" t="str">
        <f>TEXT(Table1[[#This Row],[OrderDate]],"mmm")</f>
        <v>Mar</v>
      </c>
      <c r="L105" t="str">
        <f>TEXT(Table1[OrderDate],"ddd")</f>
        <v>Mon</v>
      </c>
    </row>
    <row r="106" spans="1:12" x14ac:dyDescent="0.25">
      <c r="A106" t="s">
        <v>129</v>
      </c>
      <c r="B106" s="1">
        <v>45951</v>
      </c>
      <c r="C106" t="s">
        <v>9</v>
      </c>
      <c r="D106" t="s">
        <v>15</v>
      </c>
      <c r="E106" t="s">
        <v>16</v>
      </c>
      <c r="F106">
        <v>6</v>
      </c>
      <c r="G106">
        <v>2025</v>
      </c>
      <c r="H106">
        <v>12150</v>
      </c>
      <c r="I106">
        <v>2947.89</v>
      </c>
      <c r="J106">
        <f>YEAR(Table1[OrderDate])</f>
        <v>2025</v>
      </c>
      <c r="K106" t="str">
        <f>TEXT(Table1[[#This Row],[OrderDate]],"mmm")</f>
        <v>Oct</v>
      </c>
      <c r="L106" t="str">
        <f>TEXT(Table1[OrderDate],"ddd")</f>
        <v>Tue</v>
      </c>
    </row>
    <row r="107" spans="1:12" x14ac:dyDescent="0.25">
      <c r="A107" t="s">
        <v>130</v>
      </c>
      <c r="B107" s="1">
        <v>45892</v>
      </c>
      <c r="C107" t="s">
        <v>13</v>
      </c>
      <c r="D107" t="s">
        <v>15</v>
      </c>
      <c r="E107" t="s">
        <v>80</v>
      </c>
      <c r="F107">
        <v>9</v>
      </c>
      <c r="G107">
        <v>4752</v>
      </c>
      <c r="H107">
        <v>42768</v>
      </c>
      <c r="I107">
        <v>10683.31</v>
      </c>
      <c r="J107">
        <f>YEAR(Table1[OrderDate])</f>
        <v>2025</v>
      </c>
      <c r="K107" t="str">
        <f>TEXT(Table1[[#This Row],[OrderDate]],"mmm")</f>
        <v>Aug</v>
      </c>
      <c r="L107" t="str">
        <f>TEXT(Table1[OrderDate],"ddd")</f>
        <v>Sat</v>
      </c>
    </row>
    <row r="108" spans="1:12" x14ac:dyDescent="0.25">
      <c r="A108" t="s">
        <v>131</v>
      </c>
      <c r="B108" s="1">
        <v>45728</v>
      </c>
      <c r="C108" t="s">
        <v>28</v>
      </c>
      <c r="D108" t="s">
        <v>15</v>
      </c>
      <c r="E108" t="s">
        <v>80</v>
      </c>
      <c r="F108">
        <v>3</v>
      </c>
      <c r="G108">
        <v>1139</v>
      </c>
      <c r="H108">
        <v>3417</v>
      </c>
      <c r="I108">
        <v>577.67999999999995</v>
      </c>
      <c r="J108">
        <f>YEAR(Table1[OrderDate])</f>
        <v>2025</v>
      </c>
      <c r="K108" t="str">
        <f>TEXT(Table1[[#This Row],[OrderDate]],"mmm")</f>
        <v>Mar</v>
      </c>
      <c r="L108" t="str">
        <f>TEXT(Table1[OrderDate],"ddd")</f>
        <v>Wed</v>
      </c>
    </row>
    <row r="109" spans="1:12" x14ac:dyDescent="0.25">
      <c r="A109" t="s">
        <v>132</v>
      </c>
      <c r="B109" s="1">
        <v>45698</v>
      </c>
      <c r="C109" t="s">
        <v>28</v>
      </c>
      <c r="D109" t="s">
        <v>15</v>
      </c>
      <c r="E109" t="s">
        <v>19</v>
      </c>
      <c r="F109">
        <v>1</v>
      </c>
      <c r="G109">
        <v>2880</v>
      </c>
      <c r="H109">
        <v>2880</v>
      </c>
      <c r="I109">
        <v>358.05</v>
      </c>
      <c r="J109">
        <f>YEAR(Table1[OrderDate])</f>
        <v>2025</v>
      </c>
      <c r="K109" t="str">
        <f>TEXT(Table1[[#This Row],[OrderDate]],"mmm")</f>
        <v>Feb</v>
      </c>
      <c r="L109" t="str">
        <f>TEXT(Table1[OrderDate],"ddd")</f>
        <v>Mon</v>
      </c>
    </row>
    <row r="110" spans="1:12" x14ac:dyDescent="0.25">
      <c r="A110" t="s">
        <v>133</v>
      </c>
      <c r="B110" s="1">
        <v>45682</v>
      </c>
      <c r="C110" t="s">
        <v>18</v>
      </c>
      <c r="D110" t="s">
        <v>21</v>
      </c>
      <c r="E110" t="s">
        <v>22</v>
      </c>
      <c r="F110">
        <v>9</v>
      </c>
      <c r="G110">
        <v>3946</v>
      </c>
      <c r="H110">
        <v>35514</v>
      </c>
      <c r="I110">
        <v>7097.36</v>
      </c>
      <c r="J110">
        <f>YEAR(Table1[OrderDate])</f>
        <v>2025</v>
      </c>
      <c r="K110" t="str">
        <f>TEXT(Table1[[#This Row],[OrderDate]],"mmm")</f>
        <v>Jan</v>
      </c>
      <c r="L110" t="str">
        <f>TEXT(Table1[OrderDate],"ddd")</f>
        <v>Sat</v>
      </c>
    </row>
    <row r="111" spans="1:12" x14ac:dyDescent="0.25">
      <c r="A111" t="s">
        <v>134</v>
      </c>
      <c r="B111" s="1">
        <v>45879</v>
      </c>
      <c r="C111" t="s">
        <v>18</v>
      </c>
      <c r="D111" t="s">
        <v>10</v>
      </c>
      <c r="E111" t="s">
        <v>30</v>
      </c>
      <c r="F111">
        <v>4</v>
      </c>
      <c r="G111">
        <v>2327</v>
      </c>
      <c r="H111">
        <v>9308</v>
      </c>
      <c r="I111">
        <v>1412.87</v>
      </c>
      <c r="J111">
        <f>YEAR(Table1[OrderDate])</f>
        <v>2025</v>
      </c>
      <c r="K111" t="str">
        <f>TEXT(Table1[[#This Row],[OrderDate]],"mmm")</f>
        <v>Aug</v>
      </c>
      <c r="L111" t="str">
        <f>TEXT(Table1[OrderDate],"ddd")</f>
        <v>Sun</v>
      </c>
    </row>
    <row r="112" spans="1:12" x14ac:dyDescent="0.25">
      <c r="A112" t="s">
        <v>135</v>
      </c>
      <c r="B112" s="1">
        <v>45705</v>
      </c>
      <c r="C112" t="s">
        <v>9</v>
      </c>
      <c r="D112" t="s">
        <v>21</v>
      </c>
      <c r="E112" t="s">
        <v>45</v>
      </c>
      <c r="F112">
        <v>1</v>
      </c>
      <c r="G112">
        <v>3203</v>
      </c>
      <c r="H112">
        <v>3203</v>
      </c>
      <c r="I112">
        <v>662.65</v>
      </c>
      <c r="J112">
        <f>YEAR(Table1[OrderDate])</f>
        <v>2025</v>
      </c>
      <c r="K112" t="str">
        <f>TEXT(Table1[[#This Row],[OrderDate]],"mmm")</f>
        <v>Feb</v>
      </c>
      <c r="L112" t="str">
        <f>TEXT(Table1[OrderDate],"ddd")</f>
        <v>Mon</v>
      </c>
    </row>
    <row r="113" spans="1:12" x14ac:dyDescent="0.25">
      <c r="A113" t="s">
        <v>136</v>
      </c>
      <c r="B113" s="1">
        <v>45807</v>
      </c>
      <c r="C113" t="s">
        <v>28</v>
      </c>
      <c r="D113" t="s">
        <v>15</v>
      </c>
      <c r="E113" t="s">
        <v>16</v>
      </c>
      <c r="F113">
        <v>5</v>
      </c>
      <c r="G113">
        <v>4159</v>
      </c>
      <c r="H113">
        <v>20795</v>
      </c>
      <c r="I113">
        <v>2449.3000000000002</v>
      </c>
      <c r="J113">
        <f>YEAR(Table1[OrderDate])</f>
        <v>2025</v>
      </c>
      <c r="K113" t="str">
        <f>TEXT(Table1[[#This Row],[OrderDate]],"mmm")</f>
        <v>May</v>
      </c>
      <c r="L113" t="str">
        <f>TEXT(Table1[OrderDate],"ddd")</f>
        <v>Fri</v>
      </c>
    </row>
    <row r="114" spans="1:12" x14ac:dyDescent="0.25">
      <c r="A114" t="s">
        <v>137</v>
      </c>
      <c r="B114" s="1">
        <v>45945</v>
      </c>
      <c r="C114" t="s">
        <v>9</v>
      </c>
      <c r="D114" t="s">
        <v>21</v>
      </c>
      <c r="E114" t="s">
        <v>24</v>
      </c>
      <c r="F114">
        <v>5</v>
      </c>
      <c r="G114">
        <v>4465</v>
      </c>
      <c r="H114">
        <v>22325</v>
      </c>
      <c r="I114">
        <v>4388.57</v>
      </c>
      <c r="J114">
        <f>YEAR(Table1[OrderDate])</f>
        <v>2025</v>
      </c>
      <c r="K114" t="str">
        <f>TEXT(Table1[[#This Row],[OrderDate]],"mmm")</f>
        <v>Oct</v>
      </c>
      <c r="L114" t="str">
        <f>TEXT(Table1[OrderDate],"ddd")</f>
        <v>Wed</v>
      </c>
    </row>
    <row r="115" spans="1:12" x14ac:dyDescent="0.25">
      <c r="A115" t="s">
        <v>138</v>
      </c>
      <c r="B115" s="1">
        <v>45972</v>
      </c>
      <c r="C115" t="s">
        <v>9</v>
      </c>
      <c r="D115" t="s">
        <v>10</v>
      </c>
      <c r="E115" t="s">
        <v>11</v>
      </c>
      <c r="F115">
        <v>10</v>
      </c>
      <c r="G115">
        <v>4416</v>
      </c>
      <c r="H115">
        <v>44160</v>
      </c>
      <c r="I115">
        <v>4283.01</v>
      </c>
      <c r="J115">
        <f>YEAR(Table1[OrderDate])</f>
        <v>2025</v>
      </c>
      <c r="K115" t="str">
        <f>TEXT(Table1[[#This Row],[OrderDate]],"mmm")</f>
        <v>Nov</v>
      </c>
      <c r="L115" t="str">
        <f>TEXT(Table1[OrderDate],"ddd")</f>
        <v>Tue</v>
      </c>
    </row>
    <row r="116" spans="1:12" x14ac:dyDescent="0.25">
      <c r="A116" t="s">
        <v>139</v>
      </c>
      <c r="B116" s="1">
        <v>45757</v>
      </c>
      <c r="C116" t="s">
        <v>13</v>
      </c>
      <c r="D116" t="s">
        <v>21</v>
      </c>
      <c r="E116" t="s">
        <v>45</v>
      </c>
      <c r="F116">
        <v>10</v>
      </c>
      <c r="G116">
        <v>2269</v>
      </c>
      <c r="H116">
        <v>22690</v>
      </c>
      <c r="I116">
        <v>3670.28</v>
      </c>
      <c r="J116">
        <f>YEAR(Table1[OrderDate])</f>
        <v>2025</v>
      </c>
      <c r="K116" t="str">
        <f>TEXT(Table1[[#This Row],[OrderDate]],"mmm")</f>
        <v>Apr</v>
      </c>
      <c r="L116" t="str">
        <f>TEXT(Table1[OrderDate],"ddd")</f>
        <v>Thu</v>
      </c>
    </row>
    <row r="117" spans="1:12" x14ac:dyDescent="0.25">
      <c r="A117" t="s">
        <v>140</v>
      </c>
      <c r="B117" s="1">
        <v>45686</v>
      </c>
      <c r="C117" t="s">
        <v>9</v>
      </c>
      <c r="D117" t="s">
        <v>10</v>
      </c>
      <c r="E117" t="s">
        <v>11</v>
      </c>
      <c r="F117">
        <v>7</v>
      </c>
      <c r="G117">
        <v>1979</v>
      </c>
      <c r="H117">
        <v>13853</v>
      </c>
      <c r="I117">
        <v>3418.32</v>
      </c>
      <c r="J117">
        <f>YEAR(Table1[OrderDate])</f>
        <v>2025</v>
      </c>
      <c r="K117" t="str">
        <f>TEXT(Table1[[#This Row],[OrderDate]],"mmm")</f>
        <v>Jan</v>
      </c>
      <c r="L117" t="str">
        <f>TEXT(Table1[OrderDate],"ddd")</f>
        <v>Wed</v>
      </c>
    </row>
    <row r="118" spans="1:12" x14ac:dyDescent="0.25">
      <c r="A118" t="s">
        <v>141</v>
      </c>
      <c r="B118" s="1">
        <v>45738</v>
      </c>
      <c r="C118" t="s">
        <v>13</v>
      </c>
      <c r="D118" t="s">
        <v>10</v>
      </c>
      <c r="E118" t="s">
        <v>11</v>
      </c>
      <c r="F118">
        <v>5</v>
      </c>
      <c r="G118">
        <v>4297</v>
      </c>
      <c r="H118">
        <v>21485</v>
      </c>
      <c r="I118">
        <v>2100.4</v>
      </c>
      <c r="J118">
        <f>YEAR(Table1[OrderDate])</f>
        <v>2025</v>
      </c>
      <c r="K118" t="str">
        <f>TEXT(Table1[[#This Row],[OrderDate]],"mmm")</f>
        <v>Mar</v>
      </c>
      <c r="L118" t="str">
        <f>TEXT(Table1[OrderDate],"ddd")</f>
        <v>Sat</v>
      </c>
    </row>
    <row r="119" spans="1:12" x14ac:dyDescent="0.25">
      <c r="A119" t="s">
        <v>142</v>
      </c>
      <c r="B119" s="1">
        <v>45860</v>
      </c>
      <c r="C119" t="s">
        <v>9</v>
      </c>
      <c r="D119" t="s">
        <v>15</v>
      </c>
      <c r="E119" t="s">
        <v>19</v>
      </c>
      <c r="F119">
        <v>6</v>
      </c>
      <c r="G119">
        <v>3014</v>
      </c>
      <c r="H119">
        <v>18084</v>
      </c>
      <c r="I119">
        <v>4257.6400000000003</v>
      </c>
      <c r="J119">
        <f>YEAR(Table1[OrderDate])</f>
        <v>2025</v>
      </c>
      <c r="K119" t="str">
        <f>TEXT(Table1[[#This Row],[OrderDate]],"mmm")</f>
        <v>Jul</v>
      </c>
      <c r="L119" t="str">
        <f>TEXT(Table1[OrderDate],"ddd")</f>
        <v>Tue</v>
      </c>
    </row>
    <row r="120" spans="1:12" x14ac:dyDescent="0.25">
      <c r="A120" t="s">
        <v>143</v>
      </c>
      <c r="B120" s="1">
        <v>45714</v>
      </c>
      <c r="C120" t="s">
        <v>13</v>
      </c>
      <c r="D120" t="s">
        <v>15</v>
      </c>
      <c r="E120" t="s">
        <v>80</v>
      </c>
      <c r="F120">
        <v>7</v>
      </c>
      <c r="G120">
        <v>2694</v>
      </c>
      <c r="H120">
        <v>18858</v>
      </c>
      <c r="I120">
        <v>5244.92</v>
      </c>
      <c r="J120">
        <f>YEAR(Table1[OrderDate])</f>
        <v>2025</v>
      </c>
      <c r="K120" t="str">
        <f>TEXT(Table1[[#This Row],[OrderDate]],"mmm")</f>
        <v>Feb</v>
      </c>
      <c r="L120" t="str">
        <f>TEXT(Table1[OrderDate],"ddd")</f>
        <v>Wed</v>
      </c>
    </row>
    <row r="121" spans="1:12" x14ac:dyDescent="0.25">
      <c r="A121" t="s">
        <v>144</v>
      </c>
      <c r="B121" s="1">
        <v>45814</v>
      </c>
      <c r="C121" t="s">
        <v>13</v>
      </c>
      <c r="D121" t="s">
        <v>15</v>
      </c>
      <c r="E121" t="s">
        <v>16</v>
      </c>
      <c r="F121">
        <v>6</v>
      </c>
      <c r="G121">
        <v>4346</v>
      </c>
      <c r="H121">
        <v>26076</v>
      </c>
      <c r="I121">
        <v>6562.57</v>
      </c>
      <c r="J121">
        <f>YEAR(Table1[OrderDate])</f>
        <v>2025</v>
      </c>
      <c r="K121" t="str">
        <f>TEXT(Table1[[#This Row],[OrderDate]],"mmm")</f>
        <v>Jun</v>
      </c>
      <c r="L121" t="str">
        <f>TEXT(Table1[OrderDate],"ddd")</f>
        <v>Fri</v>
      </c>
    </row>
    <row r="122" spans="1:12" x14ac:dyDescent="0.25">
      <c r="A122" t="s">
        <v>145</v>
      </c>
      <c r="B122" s="1">
        <v>45960</v>
      </c>
      <c r="C122" t="s">
        <v>9</v>
      </c>
      <c r="D122" t="s">
        <v>10</v>
      </c>
      <c r="E122" t="s">
        <v>11</v>
      </c>
      <c r="F122">
        <v>6</v>
      </c>
      <c r="G122">
        <v>639</v>
      </c>
      <c r="H122">
        <v>3834</v>
      </c>
      <c r="I122">
        <v>522.75</v>
      </c>
      <c r="J122">
        <f>YEAR(Table1[OrderDate])</f>
        <v>2025</v>
      </c>
      <c r="K122" t="str">
        <f>TEXT(Table1[[#This Row],[OrderDate]],"mmm")</f>
        <v>Oct</v>
      </c>
      <c r="L122" t="str">
        <f>TEXT(Table1[OrderDate],"ddd")</f>
        <v>Thu</v>
      </c>
    </row>
    <row r="123" spans="1:12" x14ac:dyDescent="0.25">
      <c r="A123" t="s">
        <v>146</v>
      </c>
      <c r="B123" s="1">
        <v>45906</v>
      </c>
      <c r="C123" t="s">
        <v>28</v>
      </c>
      <c r="D123" t="s">
        <v>10</v>
      </c>
      <c r="E123" t="s">
        <v>33</v>
      </c>
      <c r="F123">
        <v>9</v>
      </c>
      <c r="G123">
        <v>2221</v>
      </c>
      <c r="H123">
        <v>19989</v>
      </c>
      <c r="I123">
        <v>2157.42</v>
      </c>
      <c r="J123">
        <f>YEAR(Table1[OrderDate])</f>
        <v>2025</v>
      </c>
      <c r="K123" t="str">
        <f>TEXT(Table1[[#This Row],[OrderDate]],"mmm")</f>
        <v>Sep</v>
      </c>
      <c r="L123" t="str">
        <f>TEXT(Table1[OrderDate],"ddd")</f>
        <v>Sat</v>
      </c>
    </row>
    <row r="124" spans="1:12" x14ac:dyDescent="0.25">
      <c r="A124" t="s">
        <v>147</v>
      </c>
      <c r="B124" s="1">
        <v>45877</v>
      </c>
      <c r="C124" t="s">
        <v>9</v>
      </c>
      <c r="D124" t="s">
        <v>21</v>
      </c>
      <c r="E124" t="s">
        <v>45</v>
      </c>
      <c r="F124">
        <v>5</v>
      </c>
      <c r="G124">
        <v>2591</v>
      </c>
      <c r="H124">
        <v>12955</v>
      </c>
      <c r="I124">
        <v>3835.59</v>
      </c>
      <c r="J124">
        <f>YEAR(Table1[OrderDate])</f>
        <v>2025</v>
      </c>
      <c r="K124" t="str">
        <f>TEXT(Table1[[#This Row],[OrderDate]],"mmm")</f>
        <v>Aug</v>
      </c>
      <c r="L124" t="str">
        <f>TEXT(Table1[OrderDate],"ddd")</f>
        <v>Fri</v>
      </c>
    </row>
    <row r="125" spans="1:12" x14ac:dyDescent="0.25">
      <c r="A125" t="s">
        <v>148</v>
      </c>
      <c r="B125" s="1">
        <v>45959</v>
      </c>
      <c r="C125" t="s">
        <v>9</v>
      </c>
      <c r="D125" t="s">
        <v>10</v>
      </c>
      <c r="E125" t="s">
        <v>11</v>
      </c>
      <c r="F125">
        <v>5</v>
      </c>
      <c r="G125">
        <v>1184</v>
      </c>
      <c r="H125">
        <v>5920</v>
      </c>
      <c r="I125">
        <v>1305.8499999999999</v>
      </c>
      <c r="J125">
        <f>YEAR(Table1[OrderDate])</f>
        <v>2025</v>
      </c>
      <c r="K125" t="str">
        <f>TEXT(Table1[[#This Row],[OrderDate]],"mmm")</f>
        <v>Oct</v>
      </c>
      <c r="L125" t="str">
        <f>TEXT(Table1[OrderDate],"ddd")</f>
        <v>Wed</v>
      </c>
    </row>
    <row r="126" spans="1:12" x14ac:dyDescent="0.25">
      <c r="A126" t="s">
        <v>149</v>
      </c>
      <c r="B126" s="1">
        <v>45731</v>
      </c>
      <c r="C126" t="s">
        <v>9</v>
      </c>
      <c r="D126" t="s">
        <v>21</v>
      </c>
      <c r="E126" t="s">
        <v>22</v>
      </c>
      <c r="F126">
        <v>9</v>
      </c>
      <c r="G126">
        <v>2755</v>
      </c>
      <c r="H126">
        <v>24795</v>
      </c>
      <c r="I126">
        <v>6029.04</v>
      </c>
      <c r="J126">
        <f>YEAR(Table1[OrderDate])</f>
        <v>2025</v>
      </c>
      <c r="K126" t="str">
        <f>TEXT(Table1[[#This Row],[OrderDate]],"mmm")</f>
        <v>Mar</v>
      </c>
      <c r="L126" t="str">
        <f>TEXT(Table1[OrderDate],"ddd")</f>
        <v>Sat</v>
      </c>
    </row>
    <row r="127" spans="1:12" x14ac:dyDescent="0.25">
      <c r="A127" t="s">
        <v>150</v>
      </c>
      <c r="B127" s="1">
        <v>45774</v>
      </c>
      <c r="C127" t="s">
        <v>18</v>
      </c>
      <c r="D127" t="s">
        <v>10</v>
      </c>
      <c r="E127" t="s">
        <v>30</v>
      </c>
      <c r="F127">
        <v>5</v>
      </c>
      <c r="G127">
        <v>3234</v>
      </c>
      <c r="H127">
        <v>16170</v>
      </c>
      <c r="I127">
        <v>4560.1000000000004</v>
      </c>
      <c r="J127">
        <f>YEAR(Table1[OrderDate])</f>
        <v>2025</v>
      </c>
      <c r="K127" t="str">
        <f>TEXT(Table1[[#This Row],[OrderDate]],"mmm")</f>
        <v>Apr</v>
      </c>
      <c r="L127" t="str">
        <f>TEXT(Table1[OrderDate],"ddd")</f>
        <v>Sun</v>
      </c>
    </row>
    <row r="128" spans="1:12" x14ac:dyDescent="0.25">
      <c r="A128" t="s">
        <v>151</v>
      </c>
      <c r="B128" s="1">
        <v>45658</v>
      </c>
      <c r="C128" t="s">
        <v>28</v>
      </c>
      <c r="D128" t="s">
        <v>21</v>
      </c>
      <c r="E128" t="s">
        <v>24</v>
      </c>
      <c r="F128">
        <v>4</v>
      </c>
      <c r="G128">
        <v>876</v>
      </c>
      <c r="H128">
        <v>3504</v>
      </c>
      <c r="I128">
        <v>454.29</v>
      </c>
      <c r="J128">
        <f>YEAR(Table1[OrderDate])</f>
        <v>2025</v>
      </c>
      <c r="K128" t="str">
        <f>TEXT(Table1[[#This Row],[OrderDate]],"mmm")</f>
        <v>Jan</v>
      </c>
      <c r="L128" t="str">
        <f>TEXT(Table1[OrderDate],"ddd")</f>
        <v>Wed</v>
      </c>
    </row>
    <row r="129" spans="1:12" x14ac:dyDescent="0.25">
      <c r="A129" t="s">
        <v>152</v>
      </c>
      <c r="B129" s="1">
        <v>45941</v>
      </c>
      <c r="C129" t="s">
        <v>13</v>
      </c>
      <c r="D129" t="s">
        <v>10</v>
      </c>
      <c r="E129" t="s">
        <v>33</v>
      </c>
      <c r="F129">
        <v>9</v>
      </c>
      <c r="G129">
        <v>2670</v>
      </c>
      <c r="H129">
        <v>24030</v>
      </c>
      <c r="I129">
        <v>4684.58</v>
      </c>
      <c r="J129">
        <f>YEAR(Table1[OrderDate])</f>
        <v>2025</v>
      </c>
      <c r="K129" t="str">
        <f>TEXT(Table1[[#This Row],[OrderDate]],"mmm")</f>
        <v>Oct</v>
      </c>
      <c r="L129" t="str">
        <f>TEXT(Table1[OrderDate],"ddd")</f>
        <v>Sat</v>
      </c>
    </row>
    <row r="130" spans="1:12" x14ac:dyDescent="0.25">
      <c r="A130" t="s">
        <v>153</v>
      </c>
      <c r="B130" s="1">
        <v>45872</v>
      </c>
      <c r="C130" t="s">
        <v>28</v>
      </c>
      <c r="D130" t="s">
        <v>10</v>
      </c>
      <c r="E130" t="s">
        <v>33</v>
      </c>
      <c r="F130">
        <v>1</v>
      </c>
      <c r="G130">
        <v>3795</v>
      </c>
      <c r="H130">
        <v>3795</v>
      </c>
      <c r="I130">
        <v>746.18</v>
      </c>
      <c r="J130">
        <f>YEAR(Table1[OrderDate])</f>
        <v>2025</v>
      </c>
      <c r="K130" t="str">
        <f>TEXT(Table1[[#This Row],[OrderDate]],"mmm")</f>
        <v>Aug</v>
      </c>
      <c r="L130" t="str">
        <f>TEXT(Table1[OrderDate],"ddd")</f>
        <v>Sun</v>
      </c>
    </row>
    <row r="131" spans="1:12" x14ac:dyDescent="0.25">
      <c r="A131" t="s">
        <v>154</v>
      </c>
      <c r="B131" s="1">
        <v>45701</v>
      </c>
      <c r="C131" t="s">
        <v>18</v>
      </c>
      <c r="D131" t="s">
        <v>10</v>
      </c>
      <c r="E131" t="s">
        <v>30</v>
      </c>
      <c r="F131">
        <v>6</v>
      </c>
      <c r="G131">
        <v>2321</v>
      </c>
      <c r="H131">
        <v>13926</v>
      </c>
      <c r="I131">
        <v>2714.76</v>
      </c>
      <c r="J131">
        <f>YEAR(Table1[OrderDate])</f>
        <v>2025</v>
      </c>
      <c r="K131" t="str">
        <f>TEXT(Table1[[#This Row],[OrderDate]],"mmm")</f>
        <v>Feb</v>
      </c>
      <c r="L131" t="str">
        <f>TEXT(Table1[OrderDate],"ddd")</f>
        <v>Thu</v>
      </c>
    </row>
    <row r="132" spans="1:12" x14ac:dyDescent="0.25">
      <c r="A132" t="s">
        <v>155</v>
      </c>
      <c r="B132" s="1">
        <v>45842</v>
      </c>
      <c r="C132" t="s">
        <v>18</v>
      </c>
      <c r="D132" t="s">
        <v>15</v>
      </c>
      <c r="E132" t="s">
        <v>16</v>
      </c>
      <c r="F132">
        <v>3</v>
      </c>
      <c r="G132">
        <v>3640</v>
      </c>
      <c r="H132">
        <v>10920</v>
      </c>
      <c r="I132">
        <v>1736.38</v>
      </c>
      <c r="J132">
        <f>YEAR(Table1[OrderDate])</f>
        <v>2025</v>
      </c>
      <c r="K132" t="str">
        <f>TEXT(Table1[[#This Row],[OrderDate]],"mmm")</f>
        <v>Jul</v>
      </c>
      <c r="L132" t="str">
        <f>TEXT(Table1[OrderDate],"ddd")</f>
        <v>Fri</v>
      </c>
    </row>
    <row r="133" spans="1:12" x14ac:dyDescent="0.25">
      <c r="A133" t="s">
        <v>156</v>
      </c>
      <c r="B133" s="1">
        <v>45707</v>
      </c>
      <c r="C133" t="s">
        <v>18</v>
      </c>
      <c r="D133" t="s">
        <v>10</v>
      </c>
      <c r="E133" t="s">
        <v>33</v>
      </c>
      <c r="F133">
        <v>9</v>
      </c>
      <c r="G133">
        <v>4361</v>
      </c>
      <c r="H133">
        <v>39249</v>
      </c>
      <c r="I133">
        <v>7450.67</v>
      </c>
      <c r="J133">
        <f>YEAR(Table1[OrderDate])</f>
        <v>2025</v>
      </c>
      <c r="K133" t="str">
        <f>TEXT(Table1[[#This Row],[OrderDate]],"mmm")</f>
        <v>Feb</v>
      </c>
      <c r="L133" t="str">
        <f>TEXT(Table1[OrderDate],"ddd")</f>
        <v>Wed</v>
      </c>
    </row>
    <row r="134" spans="1:12" x14ac:dyDescent="0.25">
      <c r="A134" t="s">
        <v>157</v>
      </c>
      <c r="B134" s="1">
        <v>45868</v>
      </c>
      <c r="C134" t="s">
        <v>28</v>
      </c>
      <c r="D134" t="s">
        <v>10</v>
      </c>
      <c r="E134" t="s">
        <v>11</v>
      </c>
      <c r="F134">
        <v>10</v>
      </c>
      <c r="G134">
        <v>4113</v>
      </c>
      <c r="H134">
        <v>41130</v>
      </c>
      <c r="I134">
        <v>5773.33</v>
      </c>
      <c r="J134">
        <f>YEAR(Table1[OrderDate])</f>
        <v>2025</v>
      </c>
      <c r="K134" t="str">
        <f>TEXT(Table1[[#This Row],[OrderDate]],"mmm")</f>
        <v>Jul</v>
      </c>
      <c r="L134" t="str">
        <f>TEXT(Table1[OrderDate],"ddd")</f>
        <v>Wed</v>
      </c>
    </row>
    <row r="135" spans="1:12" x14ac:dyDescent="0.25">
      <c r="A135" t="s">
        <v>158</v>
      </c>
      <c r="B135" s="1">
        <v>45784</v>
      </c>
      <c r="C135" t="s">
        <v>13</v>
      </c>
      <c r="D135" t="s">
        <v>21</v>
      </c>
      <c r="E135" t="s">
        <v>22</v>
      </c>
      <c r="F135">
        <v>2</v>
      </c>
      <c r="G135">
        <v>1900</v>
      </c>
      <c r="H135">
        <v>3800</v>
      </c>
      <c r="I135">
        <v>1079.42</v>
      </c>
      <c r="J135">
        <f>YEAR(Table1[OrderDate])</f>
        <v>2025</v>
      </c>
      <c r="K135" t="str">
        <f>TEXT(Table1[[#This Row],[OrderDate]],"mmm")</f>
        <v>May</v>
      </c>
      <c r="L135" t="str">
        <f>TEXT(Table1[OrderDate],"ddd")</f>
        <v>Wed</v>
      </c>
    </row>
    <row r="136" spans="1:12" x14ac:dyDescent="0.25">
      <c r="A136" t="s">
        <v>159</v>
      </c>
      <c r="B136" s="1">
        <v>45949</v>
      </c>
      <c r="C136" t="s">
        <v>18</v>
      </c>
      <c r="D136" t="s">
        <v>21</v>
      </c>
      <c r="E136" t="s">
        <v>88</v>
      </c>
      <c r="F136">
        <v>7</v>
      </c>
      <c r="G136">
        <v>685</v>
      </c>
      <c r="H136">
        <v>4795</v>
      </c>
      <c r="I136">
        <v>755.22</v>
      </c>
      <c r="J136">
        <f>YEAR(Table1[OrderDate])</f>
        <v>2025</v>
      </c>
      <c r="K136" t="str">
        <f>TEXT(Table1[[#This Row],[OrderDate]],"mmm")</f>
        <v>Oct</v>
      </c>
      <c r="L136" t="str">
        <f>TEXT(Table1[OrderDate],"ddd")</f>
        <v>Sun</v>
      </c>
    </row>
    <row r="137" spans="1:12" x14ac:dyDescent="0.25">
      <c r="A137" t="s">
        <v>160</v>
      </c>
      <c r="B137" s="1">
        <v>45840</v>
      </c>
      <c r="C137" t="s">
        <v>13</v>
      </c>
      <c r="D137" t="s">
        <v>15</v>
      </c>
      <c r="E137" t="s">
        <v>19</v>
      </c>
      <c r="F137">
        <v>9</v>
      </c>
      <c r="G137">
        <v>4711</v>
      </c>
      <c r="H137">
        <v>42399</v>
      </c>
      <c r="I137">
        <v>5336.99</v>
      </c>
      <c r="J137">
        <f>YEAR(Table1[OrderDate])</f>
        <v>2025</v>
      </c>
      <c r="K137" t="str">
        <f>TEXT(Table1[[#This Row],[OrderDate]],"mmm")</f>
        <v>Jul</v>
      </c>
      <c r="L137" t="str">
        <f>TEXT(Table1[OrderDate],"ddd")</f>
        <v>Wed</v>
      </c>
    </row>
    <row r="138" spans="1:12" x14ac:dyDescent="0.25">
      <c r="A138" t="s">
        <v>161</v>
      </c>
      <c r="B138" s="1">
        <v>45886</v>
      </c>
      <c r="C138" t="s">
        <v>9</v>
      </c>
      <c r="D138" t="s">
        <v>21</v>
      </c>
      <c r="E138" t="s">
        <v>45</v>
      </c>
      <c r="F138">
        <v>6</v>
      </c>
      <c r="G138">
        <v>4720</v>
      </c>
      <c r="H138">
        <v>28320</v>
      </c>
      <c r="I138">
        <v>2689.13</v>
      </c>
      <c r="J138">
        <f>YEAR(Table1[OrderDate])</f>
        <v>2025</v>
      </c>
      <c r="K138" t="str">
        <f>TEXT(Table1[[#This Row],[OrderDate]],"mmm")</f>
        <v>Aug</v>
      </c>
      <c r="L138" t="str">
        <f>TEXT(Table1[OrderDate],"ddd")</f>
        <v>Sun</v>
      </c>
    </row>
    <row r="139" spans="1:12" x14ac:dyDescent="0.25">
      <c r="A139" t="s">
        <v>162</v>
      </c>
      <c r="B139" s="1">
        <v>45876</v>
      </c>
      <c r="C139" t="s">
        <v>28</v>
      </c>
      <c r="D139" t="s">
        <v>21</v>
      </c>
      <c r="E139" t="s">
        <v>88</v>
      </c>
      <c r="F139">
        <v>10</v>
      </c>
      <c r="G139">
        <v>3289</v>
      </c>
      <c r="H139">
        <v>32890</v>
      </c>
      <c r="I139">
        <v>7119.6</v>
      </c>
      <c r="J139">
        <f>YEAR(Table1[OrderDate])</f>
        <v>2025</v>
      </c>
      <c r="K139" t="str">
        <f>TEXT(Table1[[#This Row],[OrderDate]],"mmm")</f>
        <v>Aug</v>
      </c>
      <c r="L139" t="str">
        <f>TEXT(Table1[OrderDate],"ddd")</f>
        <v>Thu</v>
      </c>
    </row>
    <row r="140" spans="1:12" x14ac:dyDescent="0.25">
      <c r="A140" t="s">
        <v>163</v>
      </c>
      <c r="B140" s="1">
        <v>45869</v>
      </c>
      <c r="C140" t="s">
        <v>28</v>
      </c>
      <c r="D140" t="s">
        <v>10</v>
      </c>
      <c r="E140" t="s">
        <v>30</v>
      </c>
      <c r="F140">
        <v>6</v>
      </c>
      <c r="G140">
        <v>217</v>
      </c>
      <c r="H140">
        <v>1302</v>
      </c>
      <c r="I140">
        <v>355.3</v>
      </c>
      <c r="J140">
        <f>YEAR(Table1[OrderDate])</f>
        <v>2025</v>
      </c>
      <c r="K140" t="str">
        <f>TEXT(Table1[[#This Row],[OrderDate]],"mmm")</f>
        <v>Jul</v>
      </c>
      <c r="L140" t="str">
        <f>TEXT(Table1[OrderDate],"ddd")</f>
        <v>Thu</v>
      </c>
    </row>
    <row r="141" spans="1:12" x14ac:dyDescent="0.25">
      <c r="A141" t="s">
        <v>164</v>
      </c>
      <c r="B141" s="1">
        <v>45913</v>
      </c>
      <c r="C141" t="s">
        <v>13</v>
      </c>
      <c r="D141" t="s">
        <v>15</v>
      </c>
      <c r="E141" t="s">
        <v>80</v>
      </c>
      <c r="F141">
        <v>3</v>
      </c>
      <c r="G141">
        <v>4846</v>
      </c>
      <c r="H141">
        <v>14538</v>
      </c>
      <c r="I141">
        <v>2206.8200000000002</v>
      </c>
      <c r="J141">
        <f>YEAR(Table1[OrderDate])</f>
        <v>2025</v>
      </c>
      <c r="K141" t="str">
        <f>TEXT(Table1[[#This Row],[OrderDate]],"mmm")</f>
        <v>Sep</v>
      </c>
      <c r="L141" t="str">
        <f>TEXT(Table1[OrderDate],"ddd")</f>
        <v>Sat</v>
      </c>
    </row>
    <row r="142" spans="1:12" x14ac:dyDescent="0.25">
      <c r="A142" t="s">
        <v>165</v>
      </c>
      <c r="B142" s="1">
        <v>45772</v>
      </c>
      <c r="C142" t="s">
        <v>9</v>
      </c>
      <c r="D142" t="s">
        <v>10</v>
      </c>
      <c r="E142" t="s">
        <v>33</v>
      </c>
      <c r="F142">
        <v>3</v>
      </c>
      <c r="G142">
        <v>1333</v>
      </c>
      <c r="H142">
        <v>3999</v>
      </c>
      <c r="I142">
        <v>1009.93</v>
      </c>
      <c r="J142">
        <f>YEAR(Table1[OrderDate])</f>
        <v>2025</v>
      </c>
      <c r="K142" t="str">
        <f>TEXT(Table1[[#This Row],[OrderDate]],"mmm")</f>
        <v>Apr</v>
      </c>
      <c r="L142" t="str">
        <f>TEXT(Table1[OrderDate],"ddd")</f>
        <v>Fri</v>
      </c>
    </row>
    <row r="143" spans="1:12" x14ac:dyDescent="0.25">
      <c r="A143" t="s">
        <v>166</v>
      </c>
      <c r="B143" s="1">
        <v>45800</v>
      </c>
      <c r="C143" t="s">
        <v>13</v>
      </c>
      <c r="D143" t="s">
        <v>21</v>
      </c>
      <c r="E143" t="s">
        <v>45</v>
      </c>
      <c r="F143">
        <v>5</v>
      </c>
      <c r="G143">
        <v>1733</v>
      </c>
      <c r="H143">
        <v>8665</v>
      </c>
      <c r="I143">
        <v>777.53</v>
      </c>
      <c r="J143">
        <f>YEAR(Table1[OrderDate])</f>
        <v>2025</v>
      </c>
      <c r="K143" t="str">
        <f>TEXT(Table1[[#This Row],[OrderDate]],"mmm")</f>
        <v>May</v>
      </c>
      <c r="L143" t="str">
        <f>TEXT(Table1[OrderDate],"ddd")</f>
        <v>Fri</v>
      </c>
    </row>
    <row r="144" spans="1:12" x14ac:dyDescent="0.25">
      <c r="A144" t="s">
        <v>167</v>
      </c>
      <c r="B144" s="1">
        <v>45700</v>
      </c>
      <c r="C144" t="s">
        <v>13</v>
      </c>
      <c r="D144" t="s">
        <v>10</v>
      </c>
      <c r="E144" t="s">
        <v>30</v>
      </c>
      <c r="F144">
        <v>3</v>
      </c>
      <c r="G144">
        <v>4977</v>
      </c>
      <c r="H144">
        <v>14931</v>
      </c>
      <c r="I144">
        <v>2151.06</v>
      </c>
      <c r="J144">
        <f>YEAR(Table1[OrderDate])</f>
        <v>2025</v>
      </c>
      <c r="K144" t="str">
        <f>TEXT(Table1[[#This Row],[OrderDate]],"mmm")</f>
        <v>Feb</v>
      </c>
      <c r="L144" t="str">
        <f>TEXT(Table1[OrderDate],"ddd")</f>
        <v>Wed</v>
      </c>
    </row>
    <row r="145" spans="1:12" x14ac:dyDescent="0.25">
      <c r="A145" t="s">
        <v>168</v>
      </c>
      <c r="B145" s="1">
        <v>45944</v>
      </c>
      <c r="C145" t="s">
        <v>18</v>
      </c>
      <c r="D145" t="s">
        <v>10</v>
      </c>
      <c r="E145" t="s">
        <v>11</v>
      </c>
      <c r="F145">
        <v>1</v>
      </c>
      <c r="G145">
        <v>2485</v>
      </c>
      <c r="H145">
        <v>2485</v>
      </c>
      <c r="I145">
        <v>578.99</v>
      </c>
      <c r="J145">
        <f>YEAR(Table1[OrderDate])</f>
        <v>2025</v>
      </c>
      <c r="K145" t="str">
        <f>TEXT(Table1[[#This Row],[OrderDate]],"mmm")</f>
        <v>Oct</v>
      </c>
      <c r="L145" t="str">
        <f>TEXT(Table1[OrderDate],"ddd")</f>
        <v>Tue</v>
      </c>
    </row>
    <row r="146" spans="1:12" x14ac:dyDescent="0.25">
      <c r="A146" t="s">
        <v>169</v>
      </c>
      <c r="B146" s="1">
        <v>45943</v>
      </c>
      <c r="C146" t="s">
        <v>13</v>
      </c>
      <c r="D146" t="s">
        <v>21</v>
      </c>
      <c r="E146" t="s">
        <v>24</v>
      </c>
      <c r="F146">
        <v>3</v>
      </c>
      <c r="G146">
        <v>3211</v>
      </c>
      <c r="H146">
        <v>9633</v>
      </c>
      <c r="I146">
        <v>2601.9</v>
      </c>
      <c r="J146">
        <f>YEAR(Table1[OrderDate])</f>
        <v>2025</v>
      </c>
      <c r="K146" t="str">
        <f>TEXT(Table1[[#This Row],[OrderDate]],"mmm")</f>
        <v>Oct</v>
      </c>
      <c r="L146" t="str">
        <f>TEXT(Table1[OrderDate],"ddd")</f>
        <v>Mon</v>
      </c>
    </row>
    <row r="147" spans="1:12" x14ac:dyDescent="0.25">
      <c r="A147" t="s">
        <v>170</v>
      </c>
      <c r="B147" s="1">
        <v>45891</v>
      </c>
      <c r="C147" t="s">
        <v>9</v>
      </c>
      <c r="D147" t="s">
        <v>21</v>
      </c>
      <c r="E147" t="s">
        <v>88</v>
      </c>
      <c r="F147">
        <v>5</v>
      </c>
      <c r="G147">
        <v>3886</v>
      </c>
      <c r="H147">
        <v>19430</v>
      </c>
      <c r="I147">
        <v>3690.27</v>
      </c>
      <c r="J147">
        <f>YEAR(Table1[OrderDate])</f>
        <v>2025</v>
      </c>
      <c r="K147" t="str">
        <f>TEXT(Table1[[#This Row],[OrderDate]],"mmm")</f>
        <v>Aug</v>
      </c>
      <c r="L147" t="str">
        <f>TEXT(Table1[OrderDate],"ddd")</f>
        <v>Fri</v>
      </c>
    </row>
    <row r="148" spans="1:12" x14ac:dyDescent="0.25">
      <c r="A148" t="s">
        <v>171</v>
      </c>
      <c r="B148" s="1">
        <v>45766</v>
      </c>
      <c r="C148" t="s">
        <v>28</v>
      </c>
      <c r="D148" t="s">
        <v>10</v>
      </c>
      <c r="E148" t="s">
        <v>11</v>
      </c>
      <c r="F148">
        <v>2</v>
      </c>
      <c r="G148">
        <v>4866</v>
      </c>
      <c r="H148">
        <v>9732</v>
      </c>
      <c r="I148">
        <v>2749.2</v>
      </c>
      <c r="J148">
        <f>YEAR(Table1[OrderDate])</f>
        <v>2025</v>
      </c>
      <c r="K148" t="str">
        <f>TEXT(Table1[[#This Row],[OrderDate]],"mmm")</f>
        <v>Apr</v>
      </c>
      <c r="L148" t="str">
        <f>TEXT(Table1[OrderDate],"ddd")</f>
        <v>Sat</v>
      </c>
    </row>
    <row r="149" spans="1:12" x14ac:dyDescent="0.25">
      <c r="A149" t="s">
        <v>172</v>
      </c>
      <c r="B149" s="1">
        <v>45879</v>
      </c>
      <c r="C149" t="s">
        <v>18</v>
      </c>
      <c r="D149" t="s">
        <v>21</v>
      </c>
      <c r="E149" t="s">
        <v>22</v>
      </c>
      <c r="F149">
        <v>3</v>
      </c>
      <c r="G149">
        <v>3465</v>
      </c>
      <c r="H149">
        <v>10395</v>
      </c>
      <c r="I149">
        <v>2948.21</v>
      </c>
      <c r="J149">
        <f>YEAR(Table1[OrderDate])</f>
        <v>2025</v>
      </c>
      <c r="K149" t="str">
        <f>TEXT(Table1[[#This Row],[OrderDate]],"mmm")</f>
        <v>Aug</v>
      </c>
      <c r="L149" t="str">
        <f>TEXT(Table1[OrderDate],"ddd")</f>
        <v>Sun</v>
      </c>
    </row>
    <row r="150" spans="1:12" x14ac:dyDescent="0.25">
      <c r="A150" t="s">
        <v>173</v>
      </c>
      <c r="B150" s="1">
        <v>45760</v>
      </c>
      <c r="C150" t="s">
        <v>13</v>
      </c>
      <c r="D150" t="s">
        <v>15</v>
      </c>
      <c r="E150" t="s">
        <v>16</v>
      </c>
      <c r="F150">
        <v>6</v>
      </c>
      <c r="G150">
        <v>2607</v>
      </c>
      <c r="H150">
        <v>15642</v>
      </c>
      <c r="I150">
        <v>1695.01</v>
      </c>
      <c r="J150">
        <f>YEAR(Table1[OrderDate])</f>
        <v>2025</v>
      </c>
      <c r="K150" t="str">
        <f>TEXT(Table1[[#This Row],[OrderDate]],"mmm")</f>
        <v>Apr</v>
      </c>
      <c r="L150" t="str">
        <f>TEXT(Table1[OrderDate],"ddd")</f>
        <v>Sun</v>
      </c>
    </row>
    <row r="151" spans="1:12" x14ac:dyDescent="0.25">
      <c r="A151" t="s">
        <v>174</v>
      </c>
      <c r="B151" s="1">
        <v>46012</v>
      </c>
      <c r="C151" t="s">
        <v>9</v>
      </c>
      <c r="D151" t="s">
        <v>10</v>
      </c>
      <c r="E151" t="s">
        <v>11</v>
      </c>
      <c r="F151">
        <v>6</v>
      </c>
      <c r="G151">
        <v>3269</v>
      </c>
      <c r="H151">
        <v>19614</v>
      </c>
      <c r="I151">
        <v>3400.42</v>
      </c>
      <c r="J151">
        <f>YEAR(Table1[OrderDate])</f>
        <v>2025</v>
      </c>
      <c r="K151" t="str">
        <f>TEXT(Table1[[#This Row],[OrderDate]],"mmm")</f>
        <v>Dec</v>
      </c>
      <c r="L151" t="str">
        <f>TEXT(Table1[OrderDate],"ddd")</f>
        <v>Sun</v>
      </c>
    </row>
    <row r="152" spans="1:12" x14ac:dyDescent="0.25">
      <c r="A152" t="s">
        <v>175</v>
      </c>
      <c r="B152" s="1">
        <v>45661</v>
      </c>
      <c r="C152" t="s">
        <v>28</v>
      </c>
      <c r="D152" t="s">
        <v>21</v>
      </c>
      <c r="E152" t="s">
        <v>22</v>
      </c>
      <c r="F152">
        <v>8</v>
      </c>
      <c r="G152">
        <v>2250</v>
      </c>
      <c r="H152">
        <v>18000</v>
      </c>
      <c r="I152">
        <v>2779.17</v>
      </c>
      <c r="J152">
        <f>YEAR(Table1[OrderDate])</f>
        <v>2025</v>
      </c>
      <c r="K152" t="str">
        <f>TEXT(Table1[[#This Row],[OrderDate]],"mmm")</f>
        <v>Jan</v>
      </c>
      <c r="L152" t="str">
        <f>TEXT(Table1[OrderDate],"ddd")</f>
        <v>Sat</v>
      </c>
    </row>
    <row r="153" spans="1:12" x14ac:dyDescent="0.25">
      <c r="A153" t="s">
        <v>176</v>
      </c>
      <c r="B153" s="1">
        <v>45930</v>
      </c>
      <c r="C153" t="s">
        <v>13</v>
      </c>
      <c r="D153" t="s">
        <v>10</v>
      </c>
      <c r="E153" t="s">
        <v>11</v>
      </c>
      <c r="F153">
        <v>3</v>
      </c>
      <c r="G153">
        <v>4330</v>
      </c>
      <c r="H153">
        <v>12990</v>
      </c>
      <c r="I153">
        <v>3767.69</v>
      </c>
      <c r="J153">
        <f>YEAR(Table1[OrderDate])</f>
        <v>2025</v>
      </c>
      <c r="K153" t="str">
        <f>TEXT(Table1[[#This Row],[OrderDate]],"mmm")</f>
        <v>Sep</v>
      </c>
      <c r="L153" t="str">
        <f>TEXT(Table1[OrderDate],"ddd")</f>
        <v>Tue</v>
      </c>
    </row>
    <row r="154" spans="1:12" x14ac:dyDescent="0.25">
      <c r="A154" t="s">
        <v>177</v>
      </c>
      <c r="B154" s="1">
        <v>45685</v>
      </c>
      <c r="C154" t="s">
        <v>9</v>
      </c>
      <c r="D154" t="s">
        <v>15</v>
      </c>
      <c r="E154" t="s">
        <v>80</v>
      </c>
      <c r="F154">
        <v>5</v>
      </c>
      <c r="G154">
        <v>4632</v>
      </c>
      <c r="H154">
        <v>23160</v>
      </c>
      <c r="I154">
        <v>5996.94</v>
      </c>
      <c r="J154">
        <f>YEAR(Table1[OrderDate])</f>
        <v>2025</v>
      </c>
      <c r="K154" t="str">
        <f>TEXT(Table1[[#This Row],[OrderDate]],"mmm")</f>
        <v>Jan</v>
      </c>
      <c r="L154" t="str">
        <f>TEXT(Table1[OrderDate],"ddd")</f>
        <v>Tue</v>
      </c>
    </row>
    <row r="155" spans="1:12" x14ac:dyDescent="0.25">
      <c r="A155" t="s">
        <v>178</v>
      </c>
      <c r="B155" s="1">
        <v>45702</v>
      </c>
      <c r="C155" t="s">
        <v>13</v>
      </c>
      <c r="D155" t="s">
        <v>10</v>
      </c>
      <c r="E155" t="s">
        <v>33</v>
      </c>
      <c r="F155">
        <v>1</v>
      </c>
      <c r="G155">
        <v>2704</v>
      </c>
      <c r="H155">
        <v>2704</v>
      </c>
      <c r="I155">
        <v>667.29</v>
      </c>
      <c r="J155">
        <f>YEAR(Table1[OrderDate])</f>
        <v>2025</v>
      </c>
      <c r="K155" t="str">
        <f>TEXT(Table1[[#This Row],[OrderDate]],"mmm")</f>
        <v>Feb</v>
      </c>
      <c r="L155" t="str">
        <f>TEXT(Table1[OrderDate],"ddd")</f>
        <v>Fri</v>
      </c>
    </row>
    <row r="156" spans="1:12" x14ac:dyDescent="0.25">
      <c r="A156" t="s">
        <v>179</v>
      </c>
      <c r="B156" s="1">
        <v>45730</v>
      </c>
      <c r="C156" t="s">
        <v>13</v>
      </c>
      <c r="D156" t="s">
        <v>10</v>
      </c>
      <c r="E156" t="s">
        <v>30</v>
      </c>
      <c r="F156">
        <v>2</v>
      </c>
      <c r="G156">
        <v>4978</v>
      </c>
      <c r="H156">
        <v>9956</v>
      </c>
      <c r="I156">
        <v>1662.02</v>
      </c>
      <c r="J156">
        <f>YEAR(Table1[OrderDate])</f>
        <v>2025</v>
      </c>
      <c r="K156" t="str">
        <f>TEXT(Table1[[#This Row],[OrderDate]],"mmm")</f>
        <v>Mar</v>
      </c>
      <c r="L156" t="str">
        <f>TEXT(Table1[OrderDate],"ddd")</f>
        <v>Fri</v>
      </c>
    </row>
    <row r="157" spans="1:12" x14ac:dyDescent="0.25">
      <c r="A157" t="s">
        <v>180</v>
      </c>
      <c r="B157" s="1">
        <v>45933</v>
      </c>
      <c r="C157" t="s">
        <v>9</v>
      </c>
      <c r="D157" t="s">
        <v>15</v>
      </c>
      <c r="E157" t="s">
        <v>16</v>
      </c>
      <c r="F157">
        <v>7</v>
      </c>
      <c r="G157">
        <v>1252</v>
      </c>
      <c r="H157">
        <v>8764</v>
      </c>
      <c r="I157">
        <v>2315.15</v>
      </c>
      <c r="J157">
        <f>YEAR(Table1[OrderDate])</f>
        <v>2025</v>
      </c>
      <c r="K157" t="str">
        <f>TEXT(Table1[[#This Row],[OrderDate]],"mmm")</f>
        <v>Oct</v>
      </c>
      <c r="L157" t="str">
        <f>TEXT(Table1[OrderDate],"ddd")</f>
        <v>Fri</v>
      </c>
    </row>
    <row r="158" spans="1:12" x14ac:dyDescent="0.25">
      <c r="A158" t="s">
        <v>181</v>
      </c>
      <c r="B158" s="1">
        <v>45844</v>
      </c>
      <c r="C158" t="s">
        <v>13</v>
      </c>
      <c r="D158" t="s">
        <v>10</v>
      </c>
      <c r="E158" t="s">
        <v>30</v>
      </c>
      <c r="F158">
        <v>5</v>
      </c>
      <c r="G158">
        <v>815</v>
      </c>
      <c r="H158">
        <v>4075</v>
      </c>
      <c r="I158">
        <v>574.04</v>
      </c>
      <c r="J158">
        <f>YEAR(Table1[OrderDate])</f>
        <v>2025</v>
      </c>
      <c r="K158" t="str">
        <f>TEXT(Table1[[#This Row],[OrderDate]],"mmm")</f>
        <v>Jul</v>
      </c>
      <c r="L158" t="str">
        <f>TEXT(Table1[OrderDate],"ddd")</f>
        <v>Sun</v>
      </c>
    </row>
    <row r="159" spans="1:12" x14ac:dyDescent="0.25">
      <c r="A159" t="s">
        <v>182</v>
      </c>
      <c r="B159" s="1">
        <v>45830</v>
      </c>
      <c r="C159" t="s">
        <v>13</v>
      </c>
      <c r="D159" t="s">
        <v>15</v>
      </c>
      <c r="E159" t="s">
        <v>19</v>
      </c>
      <c r="F159">
        <v>8</v>
      </c>
      <c r="G159">
        <v>1596</v>
      </c>
      <c r="H159">
        <v>12768</v>
      </c>
      <c r="I159">
        <v>1682.03</v>
      </c>
      <c r="J159">
        <f>YEAR(Table1[OrderDate])</f>
        <v>2025</v>
      </c>
      <c r="K159" t="str">
        <f>TEXT(Table1[[#This Row],[OrderDate]],"mmm")</f>
        <v>Jun</v>
      </c>
      <c r="L159" t="str">
        <f>TEXT(Table1[OrderDate],"ddd")</f>
        <v>Sun</v>
      </c>
    </row>
    <row r="160" spans="1:12" x14ac:dyDescent="0.25">
      <c r="A160" t="s">
        <v>183</v>
      </c>
      <c r="B160" s="1">
        <v>45972</v>
      </c>
      <c r="C160" t="s">
        <v>28</v>
      </c>
      <c r="D160" t="s">
        <v>10</v>
      </c>
      <c r="E160" t="s">
        <v>11</v>
      </c>
      <c r="F160">
        <v>8</v>
      </c>
      <c r="G160">
        <v>1804</v>
      </c>
      <c r="H160">
        <v>14432</v>
      </c>
      <c r="I160">
        <v>3271.34</v>
      </c>
      <c r="J160">
        <f>YEAR(Table1[OrderDate])</f>
        <v>2025</v>
      </c>
      <c r="K160" t="str">
        <f>TEXT(Table1[[#This Row],[OrderDate]],"mmm")</f>
        <v>Nov</v>
      </c>
      <c r="L160" t="str">
        <f>TEXT(Table1[OrderDate],"ddd")</f>
        <v>Tue</v>
      </c>
    </row>
    <row r="161" spans="1:12" x14ac:dyDescent="0.25">
      <c r="A161" t="s">
        <v>184</v>
      </c>
      <c r="B161" s="1">
        <v>45913</v>
      </c>
      <c r="C161" t="s">
        <v>28</v>
      </c>
      <c r="D161" t="s">
        <v>10</v>
      </c>
      <c r="E161" t="s">
        <v>33</v>
      </c>
      <c r="F161">
        <v>6</v>
      </c>
      <c r="G161">
        <v>2320</v>
      </c>
      <c r="H161">
        <v>13920</v>
      </c>
      <c r="I161">
        <v>1991.2</v>
      </c>
      <c r="J161">
        <f>YEAR(Table1[OrderDate])</f>
        <v>2025</v>
      </c>
      <c r="K161" t="str">
        <f>TEXT(Table1[[#This Row],[OrderDate]],"mmm")</f>
        <v>Sep</v>
      </c>
      <c r="L161" t="str">
        <f>TEXT(Table1[OrderDate],"ddd")</f>
        <v>Sat</v>
      </c>
    </row>
    <row r="162" spans="1:12" x14ac:dyDescent="0.25">
      <c r="A162" t="s">
        <v>185</v>
      </c>
      <c r="B162" s="1">
        <v>45758</v>
      </c>
      <c r="C162" t="s">
        <v>9</v>
      </c>
      <c r="D162" t="s">
        <v>15</v>
      </c>
      <c r="E162" t="s">
        <v>16</v>
      </c>
      <c r="F162">
        <v>9</v>
      </c>
      <c r="G162">
        <v>2587</v>
      </c>
      <c r="H162">
        <v>23283</v>
      </c>
      <c r="I162">
        <v>6124.39</v>
      </c>
      <c r="J162">
        <f>YEAR(Table1[OrderDate])</f>
        <v>2025</v>
      </c>
      <c r="K162" t="str">
        <f>TEXT(Table1[[#This Row],[OrderDate]],"mmm")</f>
        <v>Apr</v>
      </c>
      <c r="L162" t="str">
        <f>TEXT(Table1[OrderDate],"ddd")</f>
        <v>Fri</v>
      </c>
    </row>
    <row r="163" spans="1:12" x14ac:dyDescent="0.25">
      <c r="A163" t="s">
        <v>186</v>
      </c>
      <c r="B163" s="1">
        <v>45848</v>
      </c>
      <c r="C163" t="s">
        <v>9</v>
      </c>
      <c r="D163" t="s">
        <v>10</v>
      </c>
      <c r="E163" t="s">
        <v>33</v>
      </c>
      <c r="F163">
        <v>6</v>
      </c>
      <c r="G163">
        <v>2965</v>
      </c>
      <c r="H163">
        <v>17790</v>
      </c>
      <c r="I163">
        <v>2402.9899999999998</v>
      </c>
      <c r="J163">
        <f>YEAR(Table1[OrderDate])</f>
        <v>2025</v>
      </c>
      <c r="K163" t="str">
        <f>TEXT(Table1[[#This Row],[OrderDate]],"mmm")</f>
        <v>Jul</v>
      </c>
      <c r="L163" t="str">
        <f>TEXT(Table1[OrderDate],"ddd")</f>
        <v>Thu</v>
      </c>
    </row>
    <row r="164" spans="1:12" x14ac:dyDescent="0.25">
      <c r="A164" t="s">
        <v>187</v>
      </c>
      <c r="B164" s="1">
        <v>45970</v>
      </c>
      <c r="C164" t="s">
        <v>28</v>
      </c>
      <c r="D164" t="s">
        <v>21</v>
      </c>
      <c r="E164" t="s">
        <v>22</v>
      </c>
      <c r="F164">
        <v>10</v>
      </c>
      <c r="G164">
        <v>886</v>
      </c>
      <c r="H164">
        <v>8860</v>
      </c>
      <c r="I164">
        <v>2295.38</v>
      </c>
      <c r="J164">
        <f>YEAR(Table1[OrderDate])</f>
        <v>2025</v>
      </c>
      <c r="K164" t="str">
        <f>TEXT(Table1[[#This Row],[OrderDate]],"mmm")</f>
        <v>Nov</v>
      </c>
      <c r="L164" t="str">
        <f>TEXT(Table1[OrderDate],"ddd")</f>
        <v>Sun</v>
      </c>
    </row>
    <row r="165" spans="1:12" x14ac:dyDescent="0.25">
      <c r="A165" t="s">
        <v>188</v>
      </c>
      <c r="B165" s="1">
        <v>45711</v>
      </c>
      <c r="C165" t="s">
        <v>9</v>
      </c>
      <c r="D165" t="s">
        <v>15</v>
      </c>
      <c r="E165" t="s">
        <v>80</v>
      </c>
      <c r="F165">
        <v>10</v>
      </c>
      <c r="G165">
        <v>1284</v>
      </c>
      <c r="H165">
        <v>12840</v>
      </c>
      <c r="I165">
        <v>2187.8000000000002</v>
      </c>
      <c r="J165">
        <f>YEAR(Table1[OrderDate])</f>
        <v>2025</v>
      </c>
      <c r="K165" t="str">
        <f>TEXT(Table1[[#This Row],[OrderDate]],"mmm")</f>
        <v>Feb</v>
      </c>
      <c r="L165" t="str">
        <f>TEXT(Table1[OrderDate],"ddd")</f>
        <v>Sun</v>
      </c>
    </row>
    <row r="166" spans="1:12" x14ac:dyDescent="0.25">
      <c r="A166" t="s">
        <v>189</v>
      </c>
      <c r="B166" s="1">
        <v>45781</v>
      </c>
      <c r="C166" t="s">
        <v>9</v>
      </c>
      <c r="D166" t="s">
        <v>21</v>
      </c>
      <c r="E166" t="s">
        <v>88</v>
      </c>
      <c r="F166">
        <v>3</v>
      </c>
      <c r="G166">
        <v>1972</v>
      </c>
      <c r="H166">
        <v>5916</v>
      </c>
      <c r="I166">
        <v>905.31</v>
      </c>
      <c r="J166">
        <f>YEAR(Table1[OrderDate])</f>
        <v>2025</v>
      </c>
      <c r="K166" t="str">
        <f>TEXT(Table1[[#This Row],[OrderDate]],"mmm")</f>
        <v>May</v>
      </c>
      <c r="L166" t="str">
        <f>TEXT(Table1[OrderDate],"ddd")</f>
        <v>Sun</v>
      </c>
    </row>
    <row r="167" spans="1:12" x14ac:dyDescent="0.25">
      <c r="A167" t="s">
        <v>190</v>
      </c>
      <c r="B167" s="1">
        <v>45717</v>
      </c>
      <c r="C167" t="s">
        <v>18</v>
      </c>
      <c r="D167" t="s">
        <v>21</v>
      </c>
      <c r="E167" t="s">
        <v>22</v>
      </c>
      <c r="F167">
        <v>3</v>
      </c>
      <c r="G167">
        <v>201</v>
      </c>
      <c r="H167">
        <v>603</v>
      </c>
      <c r="I167">
        <v>146.01</v>
      </c>
      <c r="J167">
        <f>YEAR(Table1[OrderDate])</f>
        <v>2025</v>
      </c>
      <c r="K167" t="str">
        <f>TEXT(Table1[[#This Row],[OrderDate]],"mmm")</f>
        <v>Mar</v>
      </c>
      <c r="L167" t="str">
        <f>TEXT(Table1[OrderDate],"ddd")</f>
        <v>Sat</v>
      </c>
    </row>
    <row r="168" spans="1:12" x14ac:dyDescent="0.25">
      <c r="A168" t="s">
        <v>191</v>
      </c>
      <c r="B168" s="1">
        <v>45672</v>
      </c>
      <c r="C168" t="s">
        <v>28</v>
      </c>
      <c r="D168" t="s">
        <v>15</v>
      </c>
      <c r="E168" t="s">
        <v>16</v>
      </c>
      <c r="F168">
        <v>5</v>
      </c>
      <c r="G168">
        <v>1450</v>
      </c>
      <c r="H168">
        <v>7250</v>
      </c>
      <c r="I168">
        <v>933.29</v>
      </c>
      <c r="J168">
        <f>YEAR(Table1[OrderDate])</f>
        <v>2025</v>
      </c>
      <c r="K168" t="str">
        <f>TEXT(Table1[[#This Row],[OrderDate]],"mmm")</f>
        <v>Jan</v>
      </c>
      <c r="L168" t="str">
        <f>TEXT(Table1[OrderDate],"ddd")</f>
        <v>Wed</v>
      </c>
    </row>
    <row r="169" spans="1:12" x14ac:dyDescent="0.25">
      <c r="A169" t="s">
        <v>192</v>
      </c>
      <c r="B169" s="1">
        <v>45883</v>
      </c>
      <c r="C169" t="s">
        <v>13</v>
      </c>
      <c r="D169" t="s">
        <v>15</v>
      </c>
      <c r="E169" t="s">
        <v>80</v>
      </c>
      <c r="F169">
        <v>3</v>
      </c>
      <c r="G169">
        <v>4563</v>
      </c>
      <c r="H169">
        <v>13689</v>
      </c>
      <c r="I169">
        <v>3669.4</v>
      </c>
      <c r="J169">
        <f>YEAR(Table1[OrderDate])</f>
        <v>2025</v>
      </c>
      <c r="K169" t="str">
        <f>TEXT(Table1[[#This Row],[OrderDate]],"mmm")</f>
        <v>Aug</v>
      </c>
      <c r="L169" t="str">
        <f>TEXT(Table1[OrderDate],"ddd")</f>
        <v>Thu</v>
      </c>
    </row>
    <row r="170" spans="1:12" x14ac:dyDescent="0.25">
      <c r="A170" t="s">
        <v>193</v>
      </c>
      <c r="B170" s="1">
        <v>45933</v>
      </c>
      <c r="C170" t="s">
        <v>13</v>
      </c>
      <c r="D170" t="s">
        <v>10</v>
      </c>
      <c r="E170" t="s">
        <v>33</v>
      </c>
      <c r="F170">
        <v>9</v>
      </c>
      <c r="G170">
        <v>3132</v>
      </c>
      <c r="H170">
        <v>28188</v>
      </c>
      <c r="I170">
        <v>6341.06</v>
      </c>
      <c r="J170">
        <f>YEAR(Table1[OrderDate])</f>
        <v>2025</v>
      </c>
      <c r="K170" t="str">
        <f>TEXT(Table1[[#This Row],[OrderDate]],"mmm")</f>
        <v>Oct</v>
      </c>
      <c r="L170" t="str">
        <f>TEXT(Table1[OrderDate],"ddd")</f>
        <v>Fri</v>
      </c>
    </row>
    <row r="171" spans="1:12" x14ac:dyDescent="0.25">
      <c r="A171" t="s">
        <v>194</v>
      </c>
      <c r="B171" s="1">
        <v>45911</v>
      </c>
      <c r="C171" t="s">
        <v>13</v>
      </c>
      <c r="D171" t="s">
        <v>10</v>
      </c>
      <c r="E171" t="s">
        <v>11</v>
      </c>
      <c r="F171">
        <v>9</v>
      </c>
      <c r="G171">
        <v>3443</v>
      </c>
      <c r="H171">
        <v>30987</v>
      </c>
      <c r="I171">
        <v>5389.47</v>
      </c>
      <c r="J171">
        <f>YEAR(Table1[OrderDate])</f>
        <v>2025</v>
      </c>
      <c r="K171" t="str">
        <f>TEXT(Table1[[#This Row],[OrderDate]],"mmm")</f>
        <v>Sep</v>
      </c>
      <c r="L171" t="str">
        <f>TEXT(Table1[OrderDate],"ddd")</f>
        <v>Thu</v>
      </c>
    </row>
    <row r="172" spans="1:12" x14ac:dyDescent="0.25">
      <c r="A172" t="s">
        <v>195</v>
      </c>
      <c r="B172" s="1">
        <v>45992</v>
      </c>
      <c r="C172" t="s">
        <v>13</v>
      </c>
      <c r="D172" t="s">
        <v>21</v>
      </c>
      <c r="E172" t="s">
        <v>88</v>
      </c>
      <c r="F172">
        <v>1</v>
      </c>
      <c r="G172">
        <v>2435</v>
      </c>
      <c r="H172">
        <v>2435</v>
      </c>
      <c r="I172">
        <v>383.45</v>
      </c>
      <c r="J172">
        <f>YEAR(Table1[OrderDate])</f>
        <v>2025</v>
      </c>
      <c r="K172" t="str">
        <f>TEXT(Table1[[#This Row],[OrderDate]],"mmm")</f>
        <v>Dec</v>
      </c>
      <c r="L172" t="str">
        <f>TEXT(Table1[OrderDate],"ddd")</f>
        <v>Mon</v>
      </c>
    </row>
    <row r="173" spans="1:12" x14ac:dyDescent="0.25">
      <c r="A173" t="s">
        <v>196</v>
      </c>
      <c r="B173" s="1">
        <v>45696</v>
      </c>
      <c r="C173" t="s">
        <v>13</v>
      </c>
      <c r="D173" t="s">
        <v>21</v>
      </c>
      <c r="E173" t="s">
        <v>88</v>
      </c>
      <c r="F173">
        <v>4</v>
      </c>
      <c r="G173">
        <v>3206</v>
      </c>
      <c r="H173">
        <v>12824</v>
      </c>
      <c r="I173">
        <v>3626.54</v>
      </c>
      <c r="J173">
        <f>YEAR(Table1[OrderDate])</f>
        <v>2025</v>
      </c>
      <c r="K173" t="str">
        <f>TEXT(Table1[[#This Row],[OrderDate]],"mmm")</f>
        <v>Feb</v>
      </c>
      <c r="L173" t="str">
        <f>TEXT(Table1[OrderDate],"ddd")</f>
        <v>Sat</v>
      </c>
    </row>
    <row r="174" spans="1:12" x14ac:dyDescent="0.25">
      <c r="A174" t="s">
        <v>197</v>
      </c>
      <c r="B174" s="1">
        <v>45953</v>
      </c>
      <c r="C174" t="s">
        <v>28</v>
      </c>
      <c r="D174" t="s">
        <v>10</v>
      </c>
      <c r="E174" t="s">
        <v>33</v>
      </c>
      <c r="F174">
        <v>8</v>
      </c>
      <c r="G174">
        <v>2019</v>
      </c>
      <c r="H174">
        <v>16152</v>
      </c>
      <c r="I174">
        <v>3272.1</v>
      </c>
      <c r="J174">
        <f>YEAR(Table1[OrderDate])</f>
        <v>2025</v>
      </c>
      <c r="K174" t="str">
        <f>TEXT(Table1[[#This Row],[OrderDate]],"mmm")</f>
        <v>Oct</v>
      </c>
      <c r="L174" t="str">
        <f>TEXT(Table1[OrderDate],"ddd")</f>
        <v>Thu</v>
      </c>
    </row>
    <row r="175" spans="1:12" x14ac:dyDescent="0.25">
      <c r="A175" t="s">
        <v>198</v>
      </c>
      <c r="B175" s="1">
        <v>45735</v>
      </c>
      <c r="C175" t="s">
        <v>9</v>
      </c>
      <c r="D175" t="s">
        <v>21</v>
      </c>
      <c r="E175" t="s">
        <v>22</v>
      </c>
      <c r="F175">
        <v>2</v>
      </c>
      <c r="G175">
        <v>4468</v>
      </c>
      <c r="H175">
        <v>8936</v>
      </c>
      <c r="I175">
        <v>2406.4899999999998</v>
      </c>
      <c r="J175">
        <f>YEAR(Table1[OrderDate])</f>
        <v>2025</v>
      </c>
      <c r="K175" t="str">
        <f>TEXT(Table1[[#This Row],[OrderDate]],"mmm")</f>
        <v>Mar</v>
      </c>
      <c r="L175" t="str">
        <f>TEXT(Table1[OrderDate],"ddd")</f>
        <v>Wed</v>
      </c>
    </row>
    <row r="176" spans="1:12" x14ac:dyDescent="0.25">
      <c r="A176" t="s">
        <v>199</v>
      </c>
      <c r="B176" s="1">
        <v>45947</v>
      </c>
      <c r="C176" t="s">
        <v>13</v>
      </c>
      <c r="D176" t="s">
        <v>21</v>
      </c>
      <c r="E176" t="s">
        <v>24</v>
      </c>
      <c r="F176">
        <v>10</v>
      </c>
      <c r="G176">
        <v>1808</v>
      </c>
      <c r="H176">
        <v>18080</v>
      </c>
      <c r="I176">
        <v>4468.0600000000004</v>
      </c>
      <c r="J176">
        <f>YEAR(Table1[OrderDate])</f>
        <v>2025</v>
      </c>
      <c r="K176" t="str">
        <f>TEXT(Table1[[#This Row],[OrderDate]],"mmm")</f>
        <v>Oct</v>
      </c>
      <c r="L176" t="str">
        <f>TEXT(Table1[OrderDate],"ddd")</f>
        <v>Fri</v>
      </c>
    </row>
    <row r="177" spans="1:12" x14ac:dyDescent="0.25">
      <c r="A177" t="s">
        <v>200</v>
      </c>
      <c r="B177" s="1">
        <v>45934</v>
      </c>
      <c r="C177" t="s">
        <v>13</v>
      </c>
      <c r="D177" t="s">
        <v>21</v>
      </c>
      <c r="E177" t="s">
        <v>22</v>
      </c>
      <c r="F177">
        <v>7</v>
      </c>
      <c r="G177">
        <v>1222</v>
      </c>
      <c r="H177">
        <v>8554</v>
      </c>
      <c r="I177">
        <v>936.34</v>
      </c>
      <c r="J177">
        <f>YEAR(Table1[OrderDate])</f>
        <v>2025</v>
      </c>
      <c r="K177" t="str">
        <f>TEXT(Table1[[#This Row],[OrderDate]],"mmm")</f>
        <v>Oct</v>
      </c>
      <c r="L177" t="str">
        <f>TEXT(Table1[OrderDate],"ddd")</f>
        <v>Sat</v>
      </c>
    </row>
    <row r="178" spans="1:12" x14ac:dyDescent="0.25">
      <c r="A178" t="s">
        <v>201</v>
      </c>
      <c r="B178" s="1">
        <v>45795</v>
      </c>
      <c r="C178" t="s">
        <v>18</v>
      </c>
      <c r="D178" t="s">
        <v>10</v>
      </c>
      <c r="E178" t="s">
        <v>33</v>
      </c>
      <c r="F178">
        <v>7</v>
      </c>
      <c r="G178">
        <v>4462</v>
      </c>
      <c r="H178">
        <v>31234</v>
      </c>
      <c r="I178">
        <v>8495.4</v>
      </c>
      <c r="J178">
        <f>YEAR(Table1[OrderDate])</f>
        <v>2025</v>
      </c>
      <c r="K178" t="str">
        <f>TEXT(Table1[[#This Row],[OrderDate]],"mmm")</f>
        <v>May</v>
      </c>
      <c r="L178" t="str">
        <f>TEXT(Table1[OrderDate],"ddd")</f>
        <v>Sun</v>
      </c>
    </row>
    <row r="179" spans="1:12" x14ac:dyDescent="0.25">
      <c r="A179" t="s">
        <v>202</v>
      </c>
      <c r="B179" s="1">
        <v>45998</v>
      </c>
      <c r="C179" t="s">
        <v>28</v>
      </c>
      <c r="D179" t="s">
        <v>10</v>
      </c>
      <c r="E179" t="s">
        <v>30</v>
      </c>
      <c r="F179">
        <v>1</v>
      </c>
      <c r="G179">
        <v>2653</v>
      </c>
      <c r="H179">
        <v>2653</v>
      </c>
      <c r="I179">
        <v>417.04</v>
      </c>
      <c r="J179">
        <f>YEAR(Table1[OrderDate])</f>
        <v>2025</v>
      </c>
      <c r="K179" t="str">
        <f>TEXT(Table1[[#This Row],[OrderDate]],"mmm")</f>
        <v>Dec</v>
      </c>
      <c r="L179" t="str">
        <f>TEXT(Table1[OrderDate],"ddd")</f>
        <v>Sun</v>
      </c>
    </row>
    <row r="180" spans="1:12" x14ac:dyDescent="0.25">
      <c r="A180" t="s">
        <v>203</v>
      </c>
      <c r="B180" s="1">
        <v>45953</v>
      </c>
      <c r="C180" t="s">
        <v>9</v>
      </c>
      <c r="D180" t="s">
        <v>21</v>
      </c>
      <c r="E180" t="s">
        <v>88</v>
      </c>
      <c r="F180">
        <v>1</v>
      </c>
      <c r="G180">
        <v>2955</v>
      </c>
      <c r="H180">
        <v>2955</v>
      </c>
      <c r="I180">
        <v>721.69</v>
      </c>
      <c r="J180">
        <f>YEAR(Table1[OrderDate])</f>
        <v>2025</v>
      </c>
      <c r="K180" t="str">
        <f>TEXT(Table1[[#This Row],[OrderDate]],"mmm")</f>
        <v>Oct</v>
      </c>
      <c r="L180" t="str">
        <f>TEXT(Table1[OrderDate],"ddd")</f>
        <v>Thu</v>
      </c>
    </row>
    <row r="181" spans="1:12" x14ac:dyDescent="0.25">
      <c r="A181" t="s">
        <v>204</v>
      </c>
      <c r="B181" s="1">
        <v>45761</v>
      </c>
      <c r="C181" t="s">
        <v>18</v>
      </c>
      <c r="D181" t="s">
        <v>21</v>
      </c>
      <c r="E181" t="s">
        <v>24</v>
      </c>
      <c r="F181">
        <v>3</v>
      </c>
      <c r="G181">
        <v>2804</v>
      </c>
      <c r="H181">
        <v>8412</v>
      </c>
      <c r="I181">
        <v>1344.24</v>
      </c>
      <c r="J181">
        <f>YEAR(Table1[OrderDate])</f>
        <v>2025</v>
      </c>
      <c r="K181" t="str">
        <f>TEXT(Table1[[#This Row],[OrderDate]],"mmm")</f>
        <v>Apr</v>
      </c>
      <c r="L181" t="str">
        <f>TEXT(Table1[OrderDate],"ddd")</f>
        <v>Mon</v>
      </c>
    </row>
    <row r="182" spans="1:12" x14ac:dyDescent="0.25">
      <c r="A182" t="s">
        <v>205</v>
      </c>
      <c r="B182" s="1">
        <v>45787</v>
      </c>
      <c r="C182" t="s">
        <v>18</v>
      </c>
      <c r="D182" t="s">
        <v>21</v>
      </c>
      <c r="E182" t="s">
        <v>22</v>
      </c>
      <c r="F182">
        <v>6</v>
      </c>
      <c r="G182">
        <v>3406</v>
      </c>
      <c r="H182">
        <v>20436</v>
      </c>
      <c r="I182">
        <v>5491.35</v>
      </c>
      <c r="J182">
        <f>YEAR(Table1[OrderDate])</f>
        <v>2025</v>
      </c>
      <c r="K182" t="str">
        <f>TEXT(Table1[[#This Row],[OrderDate]],"mmm")</f>
        <v>May</v>
      </c>
      <c r="L182" t="str">
        <f>TEXT(Table1[OrderDate],"ddd")</f>
        <v>Sat</v>
      </c>
    </row>
    <row r="183" spans="1:12" x14ac:dyDescent="0.25">
      <c r="A183" t="s">
        <v>206</v>
      </c>
      <c r="B183" s="1">
        <v>45733</v>
      </c>
      <c r="C183" t="s">
        <v>9</v>
      </c>
      <c r="D183" t="s">
        <v>15</v>
      </c>
      <c r="E183" t="s">
        <v>16</v>
      </c>
      <c r="F183">
        <v>2</v>
      </c>
      <c r="G183">
        <v>3699</v>
      </c>
      <c r="H183">
        <v>7398</v>
      </c>
      <c r="I183">
        <v>2059.9</v>
      </c>
      <c r="J183">
        <f>YEAR(Table1[OrderDate])</f>
        <v>2025</v>
      </c>
      <c r="K183" t="str">
        <f>TEXT(Table1[[#This Row],[OrderDate]],"mmm")</f>
        <v>Mar</v>
      </c>
      <c r="L183" t="str">
        <f>TEXT(Table1[OrderDate],"ddd")</f>
        <v>Mon</v>
      </c>
    </row>
    <row r="184" spans="1:12" x14ac:dyDescent="0.25">
      <c r="A184" t="s">
        <v>207</v>
      </c>
      <c r="B184" s="1">
        <v>45772</v>
      </c>
      <c r="C184" t="s">
        <v>13</v>
      </c>
      <c r="D184" t="s">
        <v>21</v>
      </c>
      <c r="E184" t="s">
        <v>22</v>
      </c>
      <c r="F184">
        <v>2</v>
      </c>
      <c r="G184">
        <v>220</v>
      </c>
      <c r="H184">
        <v>440</v>
      </c>
      <c r="I184">
        <v>75.14</v>
      </c>
      <c r="J184">
        <f>YEAR(Table1[OrderDate])</f>
        <v>2025</v>
      </c>
      <c r="K184" t="str">
        <f>TEXT(Table1[[#This Row],[OrderDate]],"mmm")</f>
        <v>Apr</v>
      </c>
      <c r="L184" t="str">
        <f>TEXT(Table1[OrderDate],"ddd")</f>
        <v>Fri</v>
      </c>
    </row>
    <row r="185" spans="1:12" x14ac:dyDescent="0.25">
      <c r="A185" t="s">
        <v>208</v>
      </c>
      <c r="B185" s="1">
        <v>45831</v>
      </c>
      <c r="C185" t="s">
        <v>28</v>
      </c>
      <c r="D185" t="s">
        <v>15</v>
      </c>
      <c r="E185" t="s">
        <v>19</v>
      </c>
      <c r="F185">
        <v>10</v>
      </c>
      <c r="G185">
        <v>3676</v>
      </c>
      <c r="H185">
        <v>36760</v>
      </c>
      <c r="I185">
        <v>9046.01</v>
      </c>
      <c r="J185">
        <f>YEAR(Table1[OrderDate])</f>
        <v>2025</v>
      </c>
      <c r="K185" t="str">
        <f>TEXT(Table1[[#This Row],[OrderDate]],"mmm")</f>
        <v>Jun</v>
      </c>
      <c r="L185" t="str">
        <f>TEXT(Table1[OrderDate],"ddd")</f>
        <v>Mon</v>
      </c>
    </row>
    <row r="186" spans="1:12" x14ac:dyDescent="0.25">
      <c r="A186" t="s">
        <v>209</v>
      </c>
      <c r="B186" s="1">
        <v>45805</v>
      </c>
      <c r="C186" t="s">
        <v>9</v>
      </c>
      <c r="D186" t="s">
        <v>21</v>
      </c>
      <c r="E186" t="s">
        <v>24</v>
      </c>
      <c r="F186">
        <v>6</v>
      </c>
      <c r="G186">
        <v>2131</v>
      </c>
      <c r="H186">
        <v>12786</v>
      </c>
      <c r="I186">
        <v>2837.99</v>
      </c>
      <c r="J186">
        <f>YEAR(Table1[OrderDate])</f>
        <v>2025</v>
      </c>
      <c r="K186" t="str">
        <f>TEXT(Table1[[#This Row],[OrderDate]],"mmm")</f>
        <v>May</v>
      </c>
      <c r="L186" t="str">
        <f>TEXT(Table1[OrderDate],"ddd")</f>
        <v>Wed</v>
      </c>
    </row>
    <row r="187" spans="1:12" x14ac:dyDescent="0.25">
      <c r="A187" t="s">
        <v>210</v>
      </c>
      <c r="B187" s="1">
        <v>45838</v>
      </c>
      <c r="C187" t="s">
        <v>13</v>
      </c>
      <c r="D187" t="s">
        <v>10</v>
      </c>
      <c r="E187" t="s">
        <v>30</v>
      </c>
      <c r="F187">
        <v>6</v>
      </c>
      <c r="G187">
        <v>2440</v>
      </c>
      <c r="H187">
        <v>14640</v>
      </c>
      <c r="I187">
        <v>3401.16</v>
      </c>
      <c r="J187">
        <f>YEAR(Table1[OrderDate])</f>
        <v>2025</v>
      </c>
      <c r="K187" t="str">
        <f>TEXT(Table1[[#This Row],[OrderDate]],"mmm")</f>
        <v>Jun</v>
      </c>
      <c r="L187" t="str">
        <f>TEXT(Table1[OrderDate],"ddd")</f>
        <v>Mon</v>
      </c>
    </row>
    <row r="188" spans="1:12" x14ac:dyDescent="0.25">
      <c r="A188" t="s">
        <v>211</v>
      </c>
      <c r="B188" s="1">
        <v>45696</v>
      </c>
      <c r="C188" t="s">
        <v>9</v>
      </c>
      <c r="D188" t="s">
        <v>10</v>
      </c>
      <c r="E188" t="s">
        <v>33</v>
      </c>
      <c r="F188">
        <v>4</v>
      </c>
      <c r="G188">
        <v>4062</v>
      </c>
      <c r="H188">
        <v>16248</v>
      </c>
      <c r="I188">
        <v>3016.48</v>
      </c>
      <c r="J188">
        <f>YEAR(Table1[OrderDate])</f>
        <v>2025</v>
      </c>
      <c r="K188" t="str">
        <f>TEXT(Table1[[#This Row],[OrderDate]],"mmm")</f>
        <v>Feb</v>
      </c>
      <c r="L188" t="str">
        <f>TEXT(Table1[OrderDate],"ddd")</f>
        <v>Sat</v>
      </c>
    </row>
    <row r="189" spans="1:12" x14ac:dyDescent="0.25">
      <c r="A189" t="s">
        <v>212</v>
      </c>
      <c r="B189" s="1">
        <v>45674</v>
      </c>
      <c r="C189" t="s">
        <v>28</v>
      </c>
      <c r="D189" t="s">
        <v>10</v>
      </c>
      <c r="E189" t="s">
        <v>30</v>
      </c>
      <c r="F189">
        <v>4</v>
      </c>
      <c r="G189">
        <v>3796</v>
      </c>
      <c r="H189">
        <v>15184</v>
      </c>
      <c r="I189">
        <v>1590.73</v>
      </c>
      <c r="J189">
        <f>YEAR(Table1[OrderDate])</f>
        <v>2025</v>
      </c>
      <c r="K189" t="str">
        <f>TEXT(Table1[[#This Row],[OrderDate]],"mmm")</f>
        <v>Jan</v>
      </c>
      <c r="L189" t="str">
        <f>TEXT(Table1[OrderDate],"ddd")</f>
        <v>Fri</v>
      </c>
    </row>
    <row r="190" spans="1:12" x14ac:dyDescent="0.25">
      <c r="A190" t="s">
        <v>213</v>
      </c>
      <c r="B190" s="1">
        <v>45680</v>
      </c>
      <c r="C190" t="s">
        <v>28</v>
      </c>
      <c r="D190" t="s">
        <v>21</v>
      </c>
      <c r="E190" t="s">
        <v>22</v>
      </c>
      <c r="F190">
        <v>4</v>
      </c>
      <c r="G190">
        <v>1993</v>
      </c>
      <c r="H190">
        <v>7972</v>
      </c>
      <c r="I190">
        <v>1797.13</v>
      </c>
      <c r="J190">
        <f>YEAR(Table1[OrderDate])</f>
        <v>2025</v>
      </c>
      <c r="K190" t="str">
        <f>TEXT(Table1[[#This Row],[OrderDate]],"mmm")</f>
        <v>Jan</v>
      </c>
      <c r="L190" t="str">
        <f>TEXT(Table1[OrderDate],"ddd")</f>
        <v>Thu</v>
      </c>
    </row>
    <row r="191" spans="1:12" x14ac:dyDescent="0.25">
      <c r="A191" t="s">
        <v>214</v>
      </c>
      <c r="B191" s="1">
        <v>45747</v>
      </c>
      <c r="C191" t="s">
        <v>9</v>
      </c>
      <c r="D191" t="s">
        <v>10</v>
      </c>
      <c r="E191" t="s">
        <v>30</v>
      </c>
      <c r="F191">
        <v>4</v>
      </c>
      <c r="G191">
        <v>4602</v>
      </c>
      <c r="H191">
        <v>18408</v>
      </c>
      <c r="I191">
        <v>5156.8599999999997</v>
      </c>
      <c r="J191">
        <f>YEAR(Table1[OrderDate])</f>
        <v>2025</v>
      </c>
      <c r="K191" t="str">
        <f>TEXT(Table1[[#This Row],[OrderDate]],"mmm")</f>
        <v>Mar</v>
      </c>
      <c r="L191" t="str">
        <f>TEXT(Table1[OrderDate],"ddd")</f>
        <v>Mon</v>
      </c>
    </row>
    <row r="192" spans="1:12" x14ac:dyDescent="0.25">
      <c r="A192" t="s">
        <v>215</v>
      </c>
      <c r="B192" s="1">
        <v>45878</v>
      </c>
      <c r="C192" t="s">
        <v>28</v>
      </c>
      <c r="D192" t="s">
        <v>15</v>
      </c>
      <c r="E192" t="s">
        <v>16</v>
      </c>
      <c r="F192">
        <v>7</v>
      </c>
      <c r="G192">
        <v>2260</v>
      </c>
      <c r="H192">
        <v>15820</v>
      </c>
      <c r="I192">
        <v>1372.35</v>
      </c>
      <c r="J192">
        <f>YEAR(Table1[OrderDate])</f>
        <v>2025</v>
      </c>
      <c r="K192" t="str">
        <f>TEXT(Table1[[#This Row],[OrderDate]],"mmm")</f>
        <v>Aug</v>
      </c>
      <c r="L192" t="str">
        <f>TEXT(Table1[OrderDate],"ddd")</f>
        <v>Sat</v>
      </c>
    </row>
    <row r="193" spans="1:12" x14ac:dyDescent="0.25">
      <c r="A193" t="s">
        <v>216</v>
      </c>
      <c r="B193" s="1">
        <v>45945</v>
      </c>
      <c r="C193" t="s">
        <v>9</v>
      </c>
      <c r="D193" t="s">
        <v>10</v>
      </c>
      <c r="E193" t="s">
        <v>33</v>
      </c>
      <c r="F193">
        <v>7</v>
      </c>
      <c r="G193">
        <v>4082</v>
      </c>
      <c r="H193">
        <v>28574</v>
      </c>
      <c r="I193">
        <v>2997.36</v>
      </c>
      <c r="J193">
        <f>YEAR(Table1[OrderDate])</f>
        <v>2025</v>
      </c>
      <c r="K193" t="str">
        <f>TEXT(Table1[[#This Row],[OrderDate]],"mmm")</f>
        <v>Oct</v>
      </c>
      <c r="L193" t="str">
        <f>TEXT(Table1[OrderDate],"ddd")</f>
        <v>Wed</v>
      </c>
    </row>
    <row r="194" spans="1:12" x14ac:dyDescent="0.25">
      <c r="A194" t="s">
        <v>217</v>
      </c>
      <c r="B194" s="1">
        <v>45659</v>
      </c>
      <c r="C194" t="s">
        <v>18</v>
      </c>
      <c r="D194" t="s">
        <v>10</v>
      </c>
      <c r="E194" t="s">
        <v>33</v>
      </c>
      <c r="F194">
        <v>8</v>
      </c>
      <c r="G194">
        <v>1951</v>
      </c>
      <c r="H194">
        <v>15608</v>
      </c>
      <c r="I194">
        <v>2063.39</v>
      </c>
      <c r="J194">
        <f>YEAR(Table1[OrderDate])</f>
        <v>2025</v>
      </c>
      <c r="K194" t="str">
        <f>TEXT(Table1[[#This Row],[OrderDate]],"mmm")</f>
        <v>Jan</v>
      </c>
      <c r="L194" t="str">
        <f>TEXT(Table1[OrderDate],"ddd")</f>
        <v>Thu</v>
      </c>
    </row>
    <row r="195" spans="1:12" x14ac:dyDescent="0.25">
      <c r="A195" t="s">
        <v>218</v>
      </c>
      <c r="B195" s="1">
        <v>45891</v>
      </c>
      <c r="C195" t="s">
        <v>13</v>
      </c>
      <c r="D195" t="s">
        <v>21</v>
      </c>
      <c r="E195" t="s">
        <v>24</v>
      </c>
      <c r="F195">
        <v>4</v>
      </c>
      <c r="G195">
        <v>2019</v>
      </c>
      <c r="H195">
        <v>8076</v>
      </c>
      <c r="I195">
        <v>2137.71</v>
      </c>
      <c r="J195">
        <f>YEAR(Table1[OrderDate])</f>
        <v>2025</v>
      </c>
      <c r="K195" t="str">
        <f>TEXT(Table1[[#This Row],[OrderDate]],"mmm")</f>
        <v>Aug</v>
      </c>
      <c r="L195" t="str">
        <f>TEXT(Table1[OrderDate],"ddd")</f>
        <v>Fri</v>
      </c>
    </row>
    <row r="196" spans="1:12" x14ac:dyDescent="0.25">
      <c r="A196" t="s">
        <v>219</v>
      </c>
      <c r="B196" s="1">
        <v>45877</v>
      </c>
      <c r="C196" t="s">
        <v>28</v>
      </c>
      <c r="D196" t="s">
        <v>15</v>
      </c>
      <c r="E196" t="s">
        <v>80</v>
      </c>
      <c r="F196">
        <v>5</v>
      </c>
      <c r="G196">
        <v>1402</v>
      </c>
      <c r="H196">
        <v>7010</v>
      </c>
      <c r="I196">
        <v>1968.62</v>
      </c>
      <c r="J196">
        <f>YEAR(Table1[OrderDate])</f>
        <v>2025</v>
      </c>
      <c r="K196" t="str">
        <f>TEXT(Table1[[#This Row],[OrderDate]],"mmm")</f>
        <v>Aug</v>
      </c>
      <c r="L196" t="str">
        <f>TEXT(Table1[OrderDate],"ddd")</f>
        <v>Fri</v>
      </c>
    </row>
    <row r="197" spans="1:12" x14ac:dyDescent="0.25">
      <c r="A197" t="s">
        <v>220</v>
      </c>
      <c r="B197" s="1">
        <v>45823</v>
      </c>
      <c r="C197" t="s">
        <v>28</v>
      </c>
      <c r="D197" t="s">
        <v>10</v>
      </c>
      <c r="E197" t="s">
        <v>30</v>
      </c>
      <c r="F197">
        <v>8</v>
      </c>
      <c r="G197">
        <v>3176</v>
      </c>
      <c r="H197">
        <v>25408</v>
      </c>
      <c r="I197">
        <v>2224.14</v>
      </c>
      <c r="J197">
        <f>YEAR(Table1[OrderDate])</f>
        <v>2025</v>
      </c>
      <c r="K197" t="str">
        <f>TEXT(Table1[[#This Row],[OrderDate]],"mmm")</f>
        <v>Jun</v>
      </c>
      <c r="L197" t="str">
        <f>TEXT(Table1[OrderDate],"ddd")</f>
        <v>Sun</v>
      </c>
    </row>
    <row r="198" spans="1:12" x14ac:dyDescent="0.25">
      <c r="A198" t="s">
        <v>221</v>
      </c>
      <c r="B198" s="1">
        <v>45988</v>
      </c>
      <c r="C198" t="s">
        <v>28</v>
      </c>
      <c r="D198" t="s">
        <v>10</v>
      </c>
      <c r="E198" t="s">
        <v>11</v>
      </c>
      <c r="F198">
        <v>5</v>
      </c>
      <c r="G198">
        <v>272</v>
      </c>
      <c r="H198">
        <v>1360</v>
      </c>
      <c r="I198">
        <v>222.01</v>
      </c>
      <c r="J198">
        <f>YEAR(Table1[OrderDate])</f>
        <v>2025</v>
      </c>
      <c r="K198" t="str">
        <f>TEXT(Table1[[#This Row],[OrderDate]],"mmm")</f>
        <v>Nov</v>
      </c>
      <c r="L198" t="str">
        <f>TEXT(Table1[OrderDate],"ddd")</f>
        <v>Thu</v>
      </c>
    </row>
    <row r="199" spans="1:12" x14ac:dyDescent="0.25">
      <c r="A199" t="s">
        <v>222</v>
      </c>
      <c r="B199" s="1">
        <v>46002</v>
      </c>
      <c r="C199" t="s">
        <v>13</v>
      </c>
      <c r="D199" t="s">
        <v>10</v>
      </c>
      <c r="E199" t="s">
        <v>30</v>
      </c>
      <c r="F199">
        <v>8</v>
      </c>
      <c r="G199">
        <v>4889</v>
      </c>
      <c r="H199">
        <v>39112</v>
      </c>
      <c r="I199">
        <v>5930.74</v>
      </c>
      <c r="J199">
        <f>YEAR(Table1[OrderDate])</f>
        <v>2025</v>
      </c>
      <c r="K199" t="str">
        <f>TEXT(Table1[[#This Row],[OrderDate]],"mmm")</f>
        <v>Dec</v>
      </c>
      <c r="L199" t="str">
        <f>TEXT(Table1[OrderDate],"ddd")</f>
        <v>Thu</v>
      </c>
    </row>
    <row r="200" spans="1:12" x14ac:dyDescent="0.25">
      <c r="A200" t="s">
        <v>223</v>
      </c>
      <c r="B200" s="1">
        <v>45851</v>
      </c>
      <c r="C200" t="s">
        <v>9</v>
      </c>
      <c r="D200" t="s">
        <v>10</v>
      </c>
      <c r="E200" t="s">
        <v>30</v>
      </c>
      <c r="F200">
        <v>5</v>
      </c>
      <c r="G200">
        <v>2618</v>
      </c>
      <c r="H200">
        <v>13090</v>
      </c>
      <c r="I200">
        <v>1240.25</v>
      </c>
      <c r="J200">
        <f>YEAR(Table1[OrderDate])</f>
        <v>2025</v>
      </c>
      <c r="K200" t="str">
        <f>TEXT(Table1[[#This Row],[OrderDate]],"mmm")</f>
        <v>Jul</v>
      </c>
      <c r="L200" t="str">
        <f>TEXT(Table1[OrderDate],"ddd")</f>
        <v>Sun</v>
      </c>
    </row>
    <row r="201" spans="1:12" x14ac:dyDescent="0.25">
      <c r="A201" t="s">
        <v>224</v>
      </c>
      <c r="B201" s="1">
        <v>45673</v>
      </c>
      <c r="C201" t="s">
        <v>18</v>
      </c>
      <c r="D201" t="s">
        <v>15</v>
      </c>
      <c r="E201" t="s">
        <v>80</v>
      </c>
      <c r="F201">
        <v>8</v>
      </c>
      <c r="G201">
        <v>3943</v>
      </c>
      <c r="H201">
        <v>31544</v>
      </c>
      <c r="I201">
        <v>6724.58</v>
      </c>
      <c r="J201">
        <f>YEAR(Table1[OrderDate])</f>
        <v>2025</v>
      </c>
      <c r="K201" t="str">
        <f>TEXT(Table1[[#This Row],[OrderDate]],"mmm")</f>
        <v>Jan</v>
      </c>
      <c r="L201" t="str">
        <f>TEXT(Table1[OrderDate],"ddd")</f>
        <v>Thu</v>
      </c>
    </row>
    <row r="202" spans="1:12" x14ac:dyDescent="0.25">
      <c r="A202" t="s">
        <v>225</v>
      </c>
      <c r="B202" s="1">
        <v>45688</v>
      </c>
      <c r="C202" t="s">
        <v>9</v>
      </c>
      <c r="D202" t="s">
        <v>21</v>
      </c>
      <c r="E202" t="s">
        <v>88</v>
      </c>
      <c r="F202">
        <v>6</v>
      </c>
      <c r="G202">
        <v>4556</v>
      </c>
      <c r="H202">
        <v>27336</v>
      </c>
      <c r="I202">
        <v>4529.68</v>
      </c>
      <c r="J202">
        <f>YEAR(Table1[OrderDate])</f>
        <v>2025</v>
      </c>
      <c r="K202" t="str">
        <f>TEXT(Table1[[#This Row],[OrderDate]],"mmm")</f>
        <v>Jan</v>
      </c>
      <c r="L202" t="str">
        <f>TEXT(Table1[OrderDate],"ddd")</f>
        <v>Fri</v>
      </c>
    </row>
    <row r="203" spans="1:12" x14ac:dyDescent="0.25">
      <c r="A203" t="s">
        <v>226</v>
      </c>
      <c r="B203" s="1">
        <v>45760</v>
      </c>
      <c r="C203" t="s">
        <v>28</v>
      </c>
      <c r="D203" t="s">
        <v>15</v>
      </c>
      <c r="E203" t="s">
        <v>19</v>
      </c>
      <c r="F203">
        <v>6</v>
      </c>
      <c r="G203">
        <v>921</v>
      </c>
      <c r="H203">
        <v>5526</v>
      </c>
      <c r="I203">
        <v>946.74</v>
      </c>
      <c r="J203">
        <f>YEAR(Table1[OrderDate])</f>
        <v>2025</v>
      </c>
      <c r="K203" t="str">
        <f>TEXT(Table1[[#This Row],[OrderDate]],"mmm")</f>
        <v>Apr</v>
      </c>
      <c r="L203" t="str">
        <f>TEXT(Table1[OrderDate],"ddd")</f>
        <v>Sun</v>
      </c>
    </row>
    <row r="204" spans="1:12" x14ac:dyDescent="0.25">
      <c r="A204" t="s">
        <v>227</v>
      </c>
      <c r="B204" s="1">
        <v>45742</v>
      </c>
      <c r="C204" t="s">
        <v>28</v>
      </c>
      <c r="D204" t="s">
        <v>21</v>
      </c>
      <c r="E204" t="s">
        <v>88</v>
      </c>
      <c r="F204">
        <v>10</v>
      </c>
      <c r="G204">
        <v>1990</v>
      </c>
      <c r="H204">
        <v>19900</v>
      </c>
      <c r="I204">
        <v>2895.95</v>
      </c>
      <c r="J204">
        <f>YEAR(Table1[OrderDate])</f>
        <v>2025</v>
      </c>
      <c r="K204" t="str">
        <f>TEXT(Table1[[#This Row],[OrderDate]],"mmm")</f>
        <v>Mar</v>
      </c>
      <c r="L204" t="str">
        <f>TEXT(Table1[OrderDate],"ddd")</f>
        <v>Wed</v>
      </c>
    </row>
    <row r="205" spans="1:12" x14ac:dyDescent="0.25">
      <c r="A205" t="s">
        <v>228</v>
      </c>
      <c r="B205" s="1">
        <v>45893</v>
      </c>
      <c r="C205" t="s">
        <v>28</v>
      </c>
      <c r="D205" t="s">
        <v>15</v>
      </c>
      <c r="E205" t="s">
        <v>80</v>
      </c>
      <c r="F205">
        <v>8</v>
      </c>
      <c r="G205">
        <v>4532</v>
      </c>
      <c r="H205">
        <v>36256</v>
      </c>
      <c r="I205">
        <v>10046.540000000001</v>
      </c>
      <c r="J205">
        <f>YEAR(Table1[OrderDate])</f>
        <v>2025</v>
      </c>
      <c r="K205" t="str">
        <f>TEXT(Table1[[#This Row],[OrderDate]],"mmm")</f>
        <v>Aug</v>
      </c>
      <c r="L205" t="str">
        <f>TEXT(Table1[OrderDate],"ddd")</f>
        <v>Sun</v>
      </c>
    </row>
    <row r="206" spans="1:12" x14ac:dyDescent="0.25">
      <c r="A206" t="s">
        <v>229</v>
      </c>
      <c r="B206" s="1">
        <v>45975</v>
      </c>
      <c r="C206" t="s">
        <v>28</v>
      </c>
      <c r="D206" t="s">
        <v>10</v>
      </c>
      <c r="E206" t="s">
        <v>30</v>
      </c>
      <c r="F206">
        <v>9</v>
      </c>
      <c r="G206">
        <v>509</v>
      </c>
      <c r="H206">
        <v>4581</v>
      </c>
      <c r="I206">
        <v>623.91999999999996</v>
      </c>
      <c r="J206">
        <f>YEAR(Table1[OrderDate])</f>
        <v>2025</v>
      </c>
      <c r="K206" t="str">
        <f>TEXT(Table1[[#This Row],[OrderDate]],"mmm")</f>
        <v>Nov</v>
      </c>
      <c r="L206" t="str">
        <f>TEXT(Table1[OrderDate],"ddd")</f>
        <v>Fri</v>
      </c>
    </row>
    <row r="207" spans="1:12" x14ac:dyDescent="0.25">
      <c r="A207" t="s">
        <v>230</v>
      </c>
      <c r="B207" s="1">
        <v>45749</v>
      </c>
      <c r="C207" t="s">
        <v>13</v>
      </c>
      <c r="D207" t="s">
        <v>10</v>
      </c>
      <c r="E207" t="s">
        <v>11</v>
      </c>
      <c r="F207">
        <v>1</v>
      </c>
      <c r="G207">
        <v>166</v>
      </c>
      <c r="H207">
        <v>166</v>
      </c>
      <c r="I207">
        <v>21.56</v>
      </c>
      <c r="J207">
        <f>YEAR(Table1[OrderDate])</f>
        <v>2025</v>
      </c>
      <c r="K207" t="str">
        <f>TEXT(Table1[[#This Row],[OrderDate]],"mmm")</f>
        <v>Apr</v>
      </c>
      <c r="L207" t="str">
        <f>TEXT(Table1[OrderDate],"ddd")</f>
        <v>Wed</v>
      </c>
    </row>
    <row r="208" spans="1:12" x14ac:dyDescent="0.25">
      <c r="A208" t="s">
        <v>231</v>
      </c>
      <c r="B208" s="1">
        <v>45850</v>
      </c>
      <c r="C208" t="s">
        <v>13</v>
      </c>
      <c r="D208" t="s">
        <v>15</v>
      </c>
      <c r="E208" t="s">
        <v>80</v>
      </c>
      <c r="F208">
        <v>6</v>
      </c>
      <c r="G208">
        <v>335</v>
      </c>
      <c r="H208">
        <v>2010</v>
      </c>
      <c r="I208">
        <v>391</v>
      </c>
      <c r="J208">
        <f>YEAR(Table1[OrderDate])</f>
        <v>2025</v>
      </c>
      <c r="K208" t="str">
        <f>TEXT(Table1[[#This Row],[OrderDate]],"mmm")</f>
        <v>Jul</v>
      </c>
      <c r="L208" t="str">
        <f>TEXT(Table1[OrderDate],"ddd")</f>
        <v>Sat</v>
      </c>
    </row>
    <row r="209" spans="1:12" x14ac:dyDescent="0.25">
      <c r="A209" t="s">
        <v>232</v>
      </c>
      <c r="B209" s="1">
        <v>45684</v>
      </c>
      <c r="C209" t="s">
        <v>9</v>
      </c>
      <c r="D209" t="s">
        <v>10</v>
      </c>
      <c r="E209" t="s">
        <v>30</v>
      </c>
      <c r="F209">
        <v>7</v>
      </c>
      <c r="G209">
        <v>3639</v>
      </c>
      <c r="H209">
        <v>25473</v>
      </c>
      <c r="I209">
        <v>5121.46</v>
      </c>
      <c r="J209">
        <f>YEAR(Table1[OrderDate])</f>
        <v>2025</v>
      </c>
      <c r="K209" t="str">
        <f>TEXT(Table1[[#This Row],[OrderDate]],"mmm")</f>
        <v>Jan</v>
      </c>
      <c r="L209" t="str">
        <f>TEXT(Table1[OrderDate],"ddd")</f>
        <v>Mon</v>
      </c>
    </row>
    <row r="210" spans="1:12" x14ac:dyDescent="0.25">
      <c r="A210" t="s">
        <v>233</v>
      </c>
      <c r="B210" s="1">
        <v>45903</v>
      </c>
      <c r="C210" t="s">
        <v>28</v>
      </c>
      <c r="D210" t="s">
        <v>21</v>
      </c>
      <c r="E210" t="s">
        <v>24</v>
      </c>
      <c r="F210">
        <v>4</v>
      </c>
      <c r="G210">
        <v>4467</v>
      </c>
      <c r="H210">
        <v>17868</v>
      </c>
      <c r="I210">
        <v>1998.62</v>
      </c>
      <c r="J210">
        <f>YEAR(Table1[OrderDate])</f>
        <v>2025</v>
      </c>
      <c r="K210" t="str">
        <f>TEXT(Table1[[#This Row],[OrderDate]],"mmm")</f>
        <v>Sep</v>
      </c>
      <c r="L210" t="str">
        <f>TEXT(Table1[OrderDate],"ddd")</f>
        <v>Wed</v>
      </c>
    </row>
    <row r="211" spans="1:12" x14ac:dyDescent="0.25">
      <c r="A211" t="s">
        <v>234</v>
      </c>
      <c r="B211" s="1">
        <v>45751</v>
      </c>
      <c r="C211" t="s">
        <v>13</v>
      </c>
      <c r="D211" t="s">
        <v>15</v>
      </c>
      <c r="E211" t="s">
        <v>16</v>
      </c>
      <c r="F211">
        <v>7</v>
      </c>
      <c r="G211">
        <v>3798</v>
      </c>
      <c r="H211">
        <v>26586</v>
      </c>
      <c r="I211">
        <v>3648.77</v>
      </c>
      <c r="J211">
        <f>YEAR(Table1[OrderDate])</f>
        <v>2025</v>
      </c>
      <c r="K211" t="str">
        <f>TEXT(Table1[[#This Row],[OrderDate]],"mmm")</f>
        <v>Apr</v>
      </c>
      <c r="L211" t="str">
        <f>TEXT(Table1[OrderDate],"ddd")</f>
        <v>Fri</v>
      </c>
    </row>
    <row r="212" spans="1:12" x14ac:dyDescent="0.25">
      <c r="A212" t="s">
        <v>235</v>
      </c>
      <c r="B212" s="1">
        <v>45956</v>
      </c>
      <c r="C212" t="s">
        <v>18</v>
      </c>
      <c r="D212" t="s">
        <v>21</v>
      </c>
      <c r="E212" t="s">
        <v>88</v>
      </c>
      <c r="F212">
        <v>5</v>
      </c>
      <c r="G212">
        <v>3770</v>
      </c>
      <c r="H212">
        <v>18850</v>
      </c>
      <c r="I212">
        <v>2068.62</v>
      </c>
      <c r="J212">
        <f>YEAR(Table1[OrderDate])</f>
        <v>2025</v>
      </c>
      <c r="K212" t="str">
        <f>TEXT(Table1[[#This Row],[OrderDate]],"mmm")</f>
        <v>Oct</v>
      </c>
      <c r="L212" t="str">
        <f>TEXT(Table1[OrderDate],"ddd")</f>
        <v>Sun</v>
      </c>
    </row>
    <row r="213" spans="1:12" x14ac:dyDescent="0.25">
      <c r="A213" t="s">
        <v>236</v>
      </c>
      <c r="B213" s="1">
        <v>45885</v>
      </c>
      <c r="C213" t="s">
        <v>13</v>
      </c>
      <c r="D213" t="s">
        <v>21</v>
      </c>
      <c r="E213" t="s">
        <v>88</v>
      </c>
      <c r="F213">
        <v>10</v>
      </c>
      <c r="G213">
        <v>1020</v>
      </c>
      <c r="H213">
        <v>10200</v>
      </c>
      <c r="I213">
        <v>2097.13</v>
      </c>
      <c r="J213">
        <f>YEAR(Table1[OrderDate])</f>
        <v>2025</v>
      </c>
      <c r="K213" t="str">
        <f>TEXT(Table1[[#This Row],[OrderDate]],"mmm")</f>
        <v>Aug</v>
      </c>
      <c r="L213" t="str">
        <f>TEXT(Table1[OrderDate],"ddd")</f>
        <v>Sat</v>
      </c>
    </row>
    <row r="214" spans="1:12" x14ac:dyDescent="0.25">
      <c r="A214" t="s">
        <v>237</v>
      </c>
      <c r="B214" s="1">
        <v>45819</v>
      </c>
      <c r="C214" t="s">
        <v>18</v>
      </c>
      <c r="D214" t="s">
        <v>15</v>
      </c>
      <c r="E214" t="s">
        <v>80</v>
      </c>
      <c r="F214">
        <v>8</v>
      </c>
      <c r="G214">
        <v>687</v>
      </c>
      <c r="H214">
        <v>5496</v>
      </c>
      <c r="I214">
        <v>725.79</v>
      </c>
      <c r="J214">
        <f>YEAR(Table1[OrderDate])</f>
        <v>2025</v>
      </c>
      <c r="K214" t="str">
        <f>TEXT(Table1[[#This Row],[OrderDate]],"mmm")</f>
        <v>Jun</v>
      </c>
      <c r="L214" t="str">
        <f>TEXT(Table1[OrderDate],"ddd")</f>
        <v>Wed</v>
      </c>
    </row>
    <row r="215" spans="1:12" x14ac:dyDescent="0.25">
      <c r="A215" t="s">
        <v>238</v>
      </c>
      <c r="B215" s="1">
        <v>46000</v>
      </c>
      <c r="C215" t="s">
        <v>18</v>
      </c>
      <c r="D215" t="s">
        <v>10</v>
      </c>
      <c r="E215" t="s">
        <v>11</v>
      </c>
      <c r="F215">
        <v>7</v>
      </c>
      <c r="G215">
        <v>4201</v>
      </c>
      <c r="H215">
        <v>29407</v>
      </c>
      <c r="I215">
        <v>7257.9</v>
      </c>
      <c r="J215">
        <f>YEAR(Table1[OrderDate])</f>
        <v>2025</v>
      </c>
      <c r="K215" t="str">
        <f>TEXT(Table1[[#This Row],[OrderDate]],"mmm")</f>
        <v>Dec</v>
      </c>
      <c r="L215" t="str">
        <f>TEXT(Table1[OrderDate],"ddd")</f>
        <v>Tue</v>
      </c>
    </row>
    <row r="216" spans="1:12" x14ac:dyDescent="0.25">
      <c r="A216" t="s">
        <v>239</v>
      </c>
      <c r="B216" s="1">
        <v>45748</v>
      </c>
      <c r="C216" t="s">
        <v>9</v>
      </c>
      <c r="D216" t="s">
        <v>21</v>
      </c>
      <c r="E216" t="s">
        <v>88</v>
      </c>
      <c r="F216">
        <v>8</v>
      </c>
      <c r="G216">
        <v>461</v>
      </c>
      <c r="H216">
        <v>3688</v>
      </c>
      <c r="I216">
        <v>300.79000000000002</v>
      </c>
      <c r="J216">
        <f>YEAR(Table1[OrderDate])</f>
        <v>2025</v>
      </c>
      <c r="K216" t="str">
        <f>TEXT(Table1[[#This Row],[OrderDate]],"mmm")</f>
        <v>Apr</v>
      </c>
      <c r="L216" t="str">
        <f>TEXT(Table1[OrderDate],"ddd")</f>
        <v>Tue</v>
      </c>
    </row>
    <row r="217" spans="1:12" x14ac:dyDescent="0.25">
      <c r="A217" t="s">
        <v>240</v>
      </c>
      <c r="B217" s="1">
        <v>45909</v>
      </c>
      <c r="C217" t="s">
        <v>13</v>
      </c>
      <c r="D217" t="s">
        <v>15</v>
      </c>
      <c r="E217" t="s">
        <v>16</v>
      </c>
      <c r="F217">
        <v>1</v>
      </c>
      <c r="G217">
        <v>4212</v>
      </c>
      <c r="H217">
        <v>4212</v>
      </c>
      <c r="I217">
        <v>1122.68</v>
      </c>
      <c r="J217">
        <f>YEAR(Table1[OrderDate])</f>
        <v>2025</v>
      </c>
      <c r="K217" t="str">
        <f>TEXT(Table1[[#This Row],[OrderDate]],"mmm")</f>
        <v>Sep</v>
      </c>
      <c r="L217" t="str">
        <f>TEXT(Table1[OrderDate],"ddd")</f>
        <v>Tue</v>
      </c>
    </row>
    <row r="218" spans="1:12" x14ac:dyDescent="0.25">
      <c r="A218" t="s">
        <v>241</v>
      </c>
      <c r="B218" s="1">
        <v>45966</v>
      </c>
      <c r="C218" t="s">
        <v>9</v>
      </c>
      <c r="D218" t="s">
        <v>21</v>
      </c>
      <c r="E218" t="s">
        <v>45</v>
      </c>
      <c r="F218">
        <v>9</v>
      </c>
      <c r="G218">
        <v>4145</v>
      </c>
      <c r="H218">
        <v>37305</v>
      </c>
      <c r="I218">
        <v>5943.43</v>
      </c>
      <c r="J218">
        <f>YEAR(Table1[OrderDate])</f>
        <v>2025</v>
      </c>
      <c r="K218" t="str">
        <f>TEXT(Table1[[#This Row],[OrderDate]],"mmm")</f>
        <v>Nov</v>
      </c>
      <c r="L218" t="str">
        <f>TEXT(Table1[OrderDate],"ddd")</f>
        <v>Wed</v>
      </c>
    </row>
    <row r="219" spans="1:12" x14ac:dyDescent="0.25">
      <c r="A219" t="s">
        <v>242</v>
      </c>
      <c r="B219" s="1">
        <v>45932</v>
      </c>
      <c r="C219" t="s">
        <v>18</v>
      </c>
      <c r="D219" t="s">
        <v>10</v>
      </c>
      <c r="E219" t="s">
        <v>30</v>
      </c>
      <c r="F219">
        <v>7</v>
      </c>
      <c r="G219">
        <v>921</v>
      </c>
      <c r="H219">
        <v>6447</v>
      </c>
      <c r="I219">
        <v>733.08</v>
      </c>
      <c r="J219">
        <f>YEAR(Table1[OrderDate])</f>
        <v>2025</v>
      </c>
      <c r="K219" t="str">
        <f>TEXT(Table1[[#This Row],[OrderDate]],"mmm")</f>
        <v>Oct</v>
      </c>
      <c r="L219" t="str">
        <f>TEXT(Table1[OrderDate],"ddd")</f>
        <v>Thu</v>
      </c>
    </row>
    <row r="220" spans="1:12" x14ac:dyDescent="0.25">
      <c r="A220" t="s">
        <v>243</v>
      </c>
      <c r="B220" s="1">
        <v>45769</v>
      </c>
      <c r="C220" t="s">
        <v>28</v>
      </c>
      <c r="D220" t="s">
        <v>10</v>
      </c>
      <c r="E220" t="s">
        <v>30</v>
      </c>
      <c r="F220">
        <v>7</v>
      </c>
      <c r="G220">
        <v>2887</v>
      </c>
      <c r="H220">
        <v>20209</v>
      </c>
      <c r="I220">
        <v>4200</v>
      </c>
      <c r="J220">
        <f>YEAR(Table1[OrderDate])</f>
        <v>2025</v>
      </c>
      <c r="K220" t="str">
        <f>TEXT(Table1[[#This Row],[OrderDate]],"mmm")</f>
        <v>Apr</v>
      </c>
      <c r="L220" t="str">
        <f>TEXT(Table1[OrderDate],"ddd")</f>
        <v>Tue</v>
      </c>
    </row>
    <row r="221" spans="1:12" x14ac:dyDescent="0.25">
      <c r="A221" t="s">
        <v>244</v>
      </c>
      <c r="B221" s="1">
        <v>45981</v>
      </c>
      <c r="C221" t="s">
        <v>13</v>
      </c>
      <c r="D221" t="s">
        <v>21</v>
      </c>
      <c r="E221" t="s">
        <v>88</v>
      </c>
      <c r="F221">
        <v>2</v>
      </c>
      <c r="G221">
        <v>4236</v>
      </c>
      <c r="H221">
        <v>8472</v>
      </c>
      <c r="I221">
        <v>2377.91</v>
      </c>
      <c r="J221">
        <f>YEAR(Table1[OrderDate])</f>
        <v>2025</v>
      </c>
      <c r="K221" t="str">
        <f>TEXT(Table1[[#This Row],[OrderDate]],"mmm")</f>
        <v>Nov</v>
      </c>
      <c r="L221" t="str">
        <f>TEXT(Table1[OrderDate],"ddd")</f>
        <v>Thu</v>
      </c>
    </row>
    <row r="222" spans="1:12" x14ac:dyDescent="0.25">
      <c r="A222" t="s">
        <v>245</v>
      </c>
      <c r="B222" s="1">
        <v>45837</v>
      </c>
      <c r="C222" t="s">
        <v>28</v>
      </c>
      <c r="D222" t="s">
        <v>15</v>
      </c>
      <c r="E222" t="s">
        <v>19</v>
      </c>
      <c r="F222">
        <v>1</v>
      </c>
      <c r="G222">
        <v>4078</v>
      </c>
      <c r="H222">
        <v>4078</v>
      </c>
      <c r="I222">
        <v>979.8</v>
      </c>
      <c r="J222">
        <f>YEAR(Table1[OrderDate])</f>
        <v>2025</v>
      </c>
      <c r="K222" t="str">
        <f>TEXT(Table1[[#This Row],[OrderDate]],"mmm")</f>
        <v>Jun</v>
      </c>
      <c r="L222" t="str">
        <f>TEXT(Table1[OrderDate],"ddd")</f>
        <v>Sun</v>
      </c>
    </row>
    <row r="223" spans="1:12" x14ac:dyDescent="0.25">
      <c r="A223" t="s">
        <v>246</v>
      </c>
      <c r="B223" s="1">
        <v>45764</v>
      </c>
      <c r="C223" t="s">
        <v>28</v>
      </c>
      <c r="D223" t="s">
        <v>21</v>
      </c>
      <c r="E223" t="s">
        <v>88</v>
      </c>
      <c r="F223">
        <v>4</v>
      </c>
      <c r="G223">
        <v>820</v>
      </c>
      <c r="H223">
        <v>3280</v>
      </c>
      <c r="I223">
        <v>934.54</v>
      </c>
      <c r="J223">
        <f>YEAR(Table1[OrderDate])</f>
        <v>2025</v>
      </c>
      <c r="K223" t="str">
        <f>TEXT(Table1[[#This Row],[OrderDate]],"mmm")</f>
        <v>Apr</v>
      </c>
      <c r="L223" t="str">
        <f>TEXT(Table1[OrderDate],"ddd")</f>
        <v>Thu</v>
      </c>
    </row>
    <row r="224" spans="1:12" x14ac:dyDescent="0.25">
      <c r="A224" t="s">
        <v>247</v>
      </c>
      <c r="B224" s="1">
        <v>45748</v>
      </c>
      <c r="C224" t="s">
        <v>13</v>
      </c>
      <c r="D224" t="s">
        <v>21</v>
      </c>
      <c r="E224" t="s">
        <v>45</v>
      </c>
      <c r="F224">
        <v>5</v>
      </c>
      <c r="G224">
        <v>4917</v>
      </c>
      <c r="H224">
        <v>24585</v>
      </c>
      <c r="I224">
        <v>5818.4</v>
      </c>
      <c r="J224">
        <f>YEAR(Table1[OrderDate])</f>
        <v>2025</v>
      </c>
      <c r="K224" t="str">
        <f>TEXT(Table1[[#This Row],[OrderDate]],"mmm")</f>
        <v>Apr</v>
      </c>
      <c r="L224" t="str">
        <f>TEXT(Table1[OrderDate],"ddd")</f>
        <v>Tue</v>
      </c>
    </row>
    <row r="225" spans="1:12" x14ac:dyDescent="0.25">
      <c r="A225" t="s">
        <v>248</v>
      </c>
      <c r="B225" s="1">
        <v>45983</v>
      </c>
      <c r="C225" t="s">
        <v>9</v>
      </c>
      <c r="D225" t="s">
        <v>15</v>
      </c>
      <c r="E225" t="s">
        <v>80</v>
      </c>
      <c r="F225">
        <v>6</v>
      </c>
      <c r="G225">
        <v>4851</v>
      </c>
      <c r="H225">
        <v>29106</v>
      </c>
      <c r="I225">
        <v>4542.84</v>
      </c>
      <c r="J225">
        <f>YEAR(Table1[OrderDate])</f>
        <v>2025</v>
      </c>
      <c r="K225" t="str">
        <f>TEXT(Table1[[#This Row],[OrderDate]],"mmm")</f>
        <v>Nov</v>
      </c>
      <c r="L225" t="str">
        <f>TEXT(Table1[OrderDate],"ddd")</f>
        <v>Sat</v>
      </c>
    </row>
    <row r="226" spans="1:12" x14ac:dyDescent="0.25">
      <c r="A226" t="s">
        <v>249</v>
      </c>
      <c r="B226" s="1">
        <v>46010</v>
      </c>
      <c r="C226" t="s">
        <v>28</v>
      </c>
      <c r="D226" t="s">
        <v>15</v>
      </c>
      <c r="E226" t="s">
        <v>16</v>
      </c>
      <c r="F226">
        <v>3</v>
      </c>
      <c r="G226">
        <v>3668</v>
      </c>
      <c r="H226">
        <v>11004</v>
      </c>
      <c r="I226">
        <v>957.98</v>
      </c>
      <c r="J226">
        <f>YEAR(Table1[OrderDate])</f>
        <v>2025</v>
      </c>
      <c r="K226" t="str">
        <f>TEXT(Table1[[#This Row],[OrderDate]],"mmm")</f>
        <v>Dec</v>
      </c>
      <c r="L226" t="str">
        <f>TEXT(Table1[OrderDate],"ddd")</f>
        <v>Fri</v>
      </c>
    </row>
    <row r="227" spans="1:12" x14ac:dyDescent="0.25">
      <c r="A227" t="s">
        <v>250</v>
      </c>
      <c r="B227" s="1">
        <v>45705</v>
      </c>
      <c r="C227" t="s">
        <v>18</v>
      </c>
      <c r="D227" t="s">
        <v>15</v>
      </c>
      <c r="E227" t="s">
        <v>80</v>
      </c>
      <c r="F227">
        <v>4</v>
      </c>
      <c r="G227">
        <v>4432</v>
      </c>
      <c r="H227">
        <v>17728</v>
      </c>
      <c r="I227">
        <v>3495.19</v>
      </c>
      <c r="J227">
        <f>YEAR(Table1[OrderDate])</f>
        <v>2025</v>
      </c>
      <c r="K227" t="str">
        <f>TEXT(Table1[[#This Row],[OrderDate]],"mmm")</f>
        <v>Feb</v>
      </c>
      <c r="L227" t="str">
        <f>TEXT(Table1[OrderDate],"ddd")</f>
        <v>Mon</v>
      </c>
    </row>
    <row r="228" spans="1:12" x14ac:dyDescent="0.25">
      <c r="A228" t="s">
        <v>251</v>
      </c>
      <c r="B228" s="1">
        <v>45780</v>
      </c>
      <c r="C228" t="s">
        <v>18</v>
      </c>
      <c r="D228" t="s">
        <v>10</v>
      </c>
      <c r="E228" t="s">
        <v>33</v>
      </c>
      <c r="F228">
        <v>10</v>
      </c>
      <c r="G228">
        <v>4038</v>
      </c>
      <c r="H228">
        <v>40380</v>
      </c>
      <c r="I228">
        <v>6304.87</v>
      </c>
      <c r="J228">
        <f>YEAR(Table1[OrderDate])</f>
        <v>2025</v>
      </c>
      <c r="K228" t="str">
        <f>TEXT(Table1[[#This Row],[OrderDate]],"mmm")</f>
        <v>May</v>
      </c>
      <c r="L228" t="str">
        <f>TEXT(Table1[OrderDate],"ddd")</f>
        <v>Sat</v>
      </c>
    </row>
    <row r="229" spans="1:12" x14ac:dyDescent="0.25">
      <c r="A229" t="s">
        <v>252</v>
      </c>
      <c r="B229" s="1">
        <v>45925</v>
      </c>
      <c r="C229" t="s">
        <v>13</v>
      </c>
      <c r="D229" t="s">
        <v>15</v>
      </c>
      <c r="E229" t="s">
        <v>16</v>
      </c>
      <c r="F229">
        <v>10</v>
      </c>
      <c r="G229">
        <v>4608</v>
      </c>
      <c r="H229">
        <v>46080</v>
      </c>
      <c r="I229">
        <v>9525.82</v>
      </c>
      <c r="J229">
        <f>YEAR(Table1[OrderDate])</f>
        <v>2025</v>
      </c>
      <c r="K229" t="str">
        <f>TEXT(Table1[[#This Row],[OrderDate]],"mmm")</f>
        <v>Sep</v>
      </c>
      <c r="L229" t="str">
        <f>TEXT(Table1[OrderDate],"ddd")</f>
        <v>Thu</v>
      </c>
    </row>
    <row r="230" spans="1:12" x14ac:dyDescent="0.25">
      <c r="A230" t="s">
        <v>253</v>
      </c>
      <c r="B230" s="1">
        <v>45821</v>
      </c>
      <c r="C230" t="s">
        <v>13</v>
      </c>
      <c r="D230" t="s">
        <v>10</v>
      </c>
      <c r="E230" t="s">
        <v>33</v>
      </c>
      <c r="F230">
        <v>6</v>
      </c>
      <c r="G230">
        <v>3460</v>
      </c>
      <c r="H230">
        <v>20760</v>
      </c>
      <c r="I230">
        <v>3904.66</v>
      </c>
      <c r="J230">
        <f>YEAR(Table1[OrderDate])</f>
        <v>2025</v>
      </c>
      <c r="K230" t="str">
        <f>TEXT(Table1[[#This Row],[OrderDate]],"mmm")</f>
        <v>Jun</v>
      </c>
      <c r="L230" t="str">
        <f>TEXT(Table1[OrderDate],"ddd")</f>
        <v>Fri</v>
      </c>
    </row>
    <row r="231" spans="1:12" x14ac:dyDescent="0.25">
      <c r="A231" t="s">
        <v>254</v>
      </c>
      <c r="B231" s="1">
        <v>45748</v>
      </c>
      <c r="C231" t="s">
        <v>9</v>
      </c>
      <c r="D231" t="s">
        <v>10</v>
      </c>
      <c r="E231" t="s">
        <v>11</v>
      </c>
      <c r="F231">
        <v>6</v>
      </c>
      <c r="G231">
        <v>4798</v>
      </c>
      <c r="H231">
        <v>28788</v>
      </c>
      <c r="I231">
        <v>6907.1</v>
      </c>
      <c r="J231">
        <f>YEAR(Table1[OrderDate])</f>
        <v>2025</v>
      </c>
      <c r="K231" t="str">
        <f>TEXT(Table1[[#This Row],[OrderDate]],"mmm")</f>
        <v>Apr</v>
      </c>
      <c r="L231" t="str">
        <f>TEXT(Table1[OrderDate],"ddd")</f>
        <v>Tue</v>
      </c>
    </row>
    <row r="232" spans="1:12" x14ac:dyDescent="0.25">
      <c r="A232" t="s">
        <v>255</v>
      </c>
      <c r="B232" s="1">
        <v>45962</v>
      </c>
      <c r="C232" t="s">
        <v>13</v>
      </c>
      <c r="D232" t="s">
        <v>10</v>
      </c>
      <c r="E232" t="s">
        <v>33</v>
      </c>
      <c r="F232">
        <v>2</v>
      </c>
      <c r="G232">
        <v>2265</v>
      </c>
      <c r="H232">
        <v>4530</v>
      </c>
      <c r="I232">
        <v>534.48</v>
      </c>
      <c r="J232">
        <f>YEAR(Table1[OrderDate])</f>
        <v>2025</v>
      </c>
      <c r="K232" t="str">
        <f>TEXT(Table1[[#This Row],[OrderDate]],"mmm")</f>
        <v>Nov</v>
      </c>
      <c r="L232" t="str">
        <f>TEXT(Table1[OrderDate],"ddd")</f>
        <v>Sat</v>
      </c>
    </row>
    <row r="233" spans="1:12" x14ac:dyDescent="0.25">
      <c r="A233" t="s">
        <v>256</v>
      </c>
      <c r="B233" s="1">
        <v>45964</v>
      </c>
      <c r="C233" t="s">
        <v>13</v>
      </c>
      <c r="D233" t="s">
        <v>10</v>
      </c>
      <c r="E233" t="s">
        <v>11</v>
      </c>
      <c r="F233">
        <v>6</v>
      </c>
      <c r="G233">
        <v>2380</v>
      </c>
      <c r="H233">
        <v>14280</v>
      </c>
      <c r="I233">
        <v>1613.02</v>
      </c>
      <c r="J233">
        <f>YEAR(Table1[OrderDate])</f>
        <v>2025</v>
      </c>
      <c r="K233" t="str">
        <f>TEXT(Table1[[#This Row],[OrderDate]],"mmm")</f>
        <v>Nov</v>
      </c>
      <c r="L233" t="str">
        <f>TEXT(Table1[OrderDate],"ddd")</f>
        <v>Mon</v>
      </c>
    </row>
    <row r="234" spans="1:12" x14ac:dyDescent="0.25">
      <c r="A234" t="s">
        <v>257</v>
      </c>
      <c r="B234" s="1">
        <v>45699</v>
      </c>
      <c r="C234" t="s">
        <v>9</v>
      </c>
      <c r="D234" t="s">
        <v>15</v>
      </c>
      <c r="E234" t="s">
        <v>80</v>
      </c>
      <c r="F234">
        <v>10</v>
      </c>
      <c r="G234">
        <v>1782</v>
      </c>
      <c r="H234">
        <v>17820</v>
      </c>
      <c r="I234">
        <v>4964.6899999999996</v>
      </c>
      <c r="J234">
        <f>YEAR(Table1[OrderDate])</f>
        <v>2025</v>
      </c>
      <c r="K234" t="str">
        <f>TEXT(Table1[[#This Row],[OrderDate]],"mmm")</f>
        <v>Feb</v>
      </c>
      <c r="L234" t="str">
        <f>TEXT(Table1[OrderDate],"ddd")</f>
        <v>Tue</v>
      </c>
    </row>
    <row r="235" spans="1:12" x14ac:dyDescent="0.25">
      <c r="A235" t="s">
        <v>258</v>
      </c>
      <c r="B235" s="1">
        <v>45996</v>
      </c>
      <c r="C235" t="s">
        <v>18</v>
      </c>
      <c r="D235" t="s">
        <v>21</v>
      </c>
      <c r="E235" t="s">
        <v>45</v>
      </c>
      <c r="F235">
        <v>10</v>
      </c>
      <c r="G235">
        <v>799</v>
      </c>
      <c r="H235">
        <v>7990</v>
      </c>
      <c r="I235">
        <v>1839.56</v>
      </c>
      <c r="J235">
        <f>YEAR(Table1[OrderDate])</f>
        <v>2025</v>
      </c>
      <c r="K235" t="str">
        <f>TEXT(Table1[[#This Row],[OrderDate]],"mmm")</f>
        <v>Dec</v>
      </c>
      <c r="L235" t="str">
        <f>TEXT(Table1[OrderDate],"ddd")</f>
        <v>Fri</v>
      </c>
    </row>
    <row r="236" spans="1:12" x14ac:dyDescent="0.25">
      <c r="A236" t="s">
        <v>259</v>
      </c>
      <c r="B236" s="1">
        <v>45879</v>
      </c>
      <c r="C236" t="s">
        <v>9</v>
      </c>
      <c r="D236" t="s">
        <v>21</v>
      </c>
      <c r="E236" t="s">
        <v>45</v>
      </c>
      <c r="F236">
        <v>3</v>
      </c>
      <c r="G236">
        <v>1752</v>
      </c>
      <c r="H236">
        <v>5256</v>
      </c>
      <c r="I236">
        <v>707.4</v>
      </c>
      <c r="J236">
        <f>YEAR(Table1[OrderDate])</f>
        <v>2025</v>
      </c>
      <c r="K236" t="str">
        <f>TEXT(Table1[[#This Row],[OrderDate]],"mmm")</f>
        <v>Aug</v>
      </c>
      <c r="L236" t="str">
        <f>TEXT(Table1[OrderDate],"ddd")</f>
        <v>Sun</v>
      </c>
    </row>
    <row r="237" spans="1:12" x14ac:dyDescent="0.25">
      <c r="A237" t="s">
        <v>260</v>
      </c>
      <c r="B237" s="1">
        <v>45740</v>
      </c>
      <c r="C237" t="s">
        <v>28</v>
      </c>
      <c r="D237" t="s">
        <v>15</v>
      </c>
      <c r="E237" t="s">
        <v>19</v>
      </c>
      <c r="F237">
        <v>3</v>
      </c>
      <c r="G237">
        <v>4272</v>
      </c>
      <c r="H237">
        <v>12816</v>
      </c>
      <c r="I237">
        <v>3038.27</v>
      </c>
      <c r="J237">
        <f>YEAR(Table1[OrderDate])</f>
        <v>2025</v>
      </c>
      <c r="K237" t="str">
        <f>TEXT(Table1[[#This Row],[OrderDate]],"mmm")</f>
        <v>Mar</v>
      </c>
      <c r="L237" t="str">
        <f>TEXT(Table1[OrderDate],"ddd")</f>
        <v>Mon</v>
      </c>
    </row>
    <row r="238" spans="1:12" x14ac:dyDescent="0.25">
      <c r="A238" t="s">
        <v>261</v>
      </c>
      <c r="B238" s="1">
        <v>45767</v>
      </c>
      <c r="C238" t="s">
        <v>13</v>
      </c>
      <c r="D238" t="s">
        <v>10</v>
      </c>
      <c r="E238" t="s">
        <v>33</v>
      </c>
      <c r="F238">
        <v>5</v>
      </c>
      <c r="G238">
        <v>2483</v>
      </c>
      <c r="H238">
        <v>12415</v>
      </c>
      <c r="I238">
        <v>1439.8</v>
      </c>
      <c r="J238">
        <f>YEAR(Table1[OrderDate])</f>
        <v>2025</v>
      </c>
      <c r="K238" t="str">
        <f>TEXT(Table1[[#This Row],[OrderDate]],"mmm")</f>
        <v>Apr</v>
      </c>
      <c r="L238" t="str">
        <f>TEXT(Table1[OrderDate],"ddd")</f>
        <v>Sun</v>
      </c>
    </row>
    <row r="239" spans="1:12" x14ac:dyDescent="0.25">
      <c r="A239" t="s">
        <v>262</v>
      </c>
      <c r="B239" s="1">
        <v>45668</v>
      </c>
      <c r="C239" t="s">
        <v>13</v>
      </c>
      <c r="D239" t="s">
        <v>15</v>
      </c>
      <c r="E239" t="s">
        <v>80</v>
      </c>
      <c r="F239">
        <v>2</v>
      </c>
      <c r="G239">
        <v>3004</v>
      </c>
      <c r="H239">
        <v>6008</v>
      </c>
      <c r="I239">
        <v>1662.82</v>
      </c>
      <c r="J239">
        <f>YEAR(Table1[OrderDate])</f>
        <v>2025</v>
      </c>
      <c r="K239" t="str">
        <f>TEXT(Table1[[#This Row],[OrderDate]],"mmm")</f>
        <v>Jan</v>
      </c>
      <c r="L239" t="str">
        <f>TEXT(Table1[OrderDate],"ddd")</f>
        <v>Sat</v>
      </c>
    </row>
    <row r="240" spans="1:12" x14ac:dyDescent="0.25">
      <c r="A240" t="s">
        <v>263</v>
      </c>
      <c r="B240" s="1">
        <v>45867</v>
      </c>
      <c r="C240" t="s">
        <v>18</v>
      </c>
      <c r="D240" t="s">
        <v>15</v>
      </c>
      <c r="E240" t="s">
        <v>16</v>
      </c>
      <c r="F240">
        <v>9</v>
      </c>
      <c r="G240">
        <v>1460</v>
      </c>
      <c r="H240">
        <v>13140</v>
      </c>
      <c r="I240">
        <v>2245.7800000000002</v>
      </c>
      <c r="J240">
        <f>YEAR(Table1[OrderDate])</f>
        <v>2025</v>
      </c>
      <c r="K240" t="str">
        <f>TEXT(Table1[[#This Row],[OrderDate]],"mmm")</f>
        <v>Jul</v>
      </c>
      <c r="L240" t="str">
        <f>TEXT(Table1[OrderDate],"ddd")</f>
        <v>Tue</v>
      </c>
    </row>
    <row r="241" spans="1:12" x14ac:dyDescent="0.25">
      <c r="A241" t="s">
        <v>264</v>
      </c>
      <c r="B241" s="1">
        <v>45984</v>
      </c>
      <c r="C241" t="s">
        <v>28</v>
      </c>
      <c r="D241" t="s">
        <v>10</v>
      </c>
      <c r="E241" t="s">
        <v>33</v>
      </c>
      <c r="F241">
        <v>1</v>
      </c>
      <c r="G241">
        <v>2014</v>
      </c>
      <c r="H241">
        <v>2014</v>
      </c>
      <c r="I241">
        <v>201.97</v>
      </c>
      <c r="J241">
        <f>YEAR(Table1[OrderDate])</f>
        <v>2025</v>
      </c>
      <c r="K241" t="str">
        <f>TEXT(Table1[[#This Row],[OrderDate]],"mmm")</f>
        <v>Nov</v>
      </c>
      <c r="L241" t="str">
        <f>TEXT(Table1[OrderDate],"ddd")</f>
        <v>Sun</v>
      </c>
    </row>
    <row r="242" spans="1:12" x14ac:dyDescent="0.25">
      <c r="A242" t="s">
        <v>265</v>
      </c>
      <c r="B242" s="1">
        <v>45899</v>
      </c>
      <c r="C242" t="s">
        <v>9</v>
      </c>
      <c r="D242" t="s">
        <v>10</v>
      </c>
      <c r="E242" t="s">
        <v>30</v>
      </c>
      <c r="F242">
        <v>2</v>
      </c>
      <c r="G242">
        <v>3563</v>
      </c>
      <c r="H242">
        <v>7126</v>
      </c>
      <c r="I242">
        <v>924.47</v>
      </c>
      <c r="J242">
        <f>YEAR(Table1[OrderDate])</f>
        <v>2025</v>
      </c>
      <c r="K242" t="str">
        <f>TEXT(Table1[[#This Row],[OrderDate]],"mmm")</f>
        <v>Aug</v>
      </c>
      <c r="L242" t="str">
        <f>TEXT(Table1[OrderDate],"ddd")</f>
        <v>Sat</v>
      </c>
    </row>
    <row r="243" spans="1:12" x14ac:dyDescent="0.25">
      <c r="A243" t="s">
        <v>266</v>
      </c>
      <c r="B243" s="1">
        <v>45801</v>
      </c>
      <c r="C243" t="s">
        <v>13</v>
      </c>
      <c r="D243" t="s">
        <v>15</v>
      </c>
      <c r="E243" t="s">
        <v>16</v>
      </c>
      <c r="F243">
        <v>2</v>
      </c>
      <c r="G243">
        <v>1164</v>
      </c>
      <c r="H243">
        <v>2328</v>
      </c>
      <c r="I243">
        <v>513.02</v>
      </c>
      <c r="J243">
        <f>YEAR(Table1[OrderDate])</f>
        <v>2025</v>
      </c>
      <c r="K243" t="str">
        <f>TEXT(Table1[[#This Row],[OrderDate]],"mmm")</f>
        <v>May</v>
      </c>
      <c r="L243" t="str">
        <f>TEXT(Table1[OrderDate],"ddd")</f>
        <v>Sat</v>
      </c>
    </row>
    <row r="244" spans="1:12" x14ac:dyDescent="0.25">
      <c r="A244" t="s">
        <v>267</v>
      </c>
      <c r="B244" s="1">
        <v>45881</v>
      </c>
      <c r="C244" t="s">
        <v>9</v>
      </c>
      <c r="D244" t="s">
        <v>15</v>
      </c>
      <c r="E244" t="s">
        <v>19</v>
      </c>
      <c r="F244">
        <v>10</v>
      </c>
      <c r="G244">
        <v>571</v>
      </c>
      <c r="H244">
        <v>5710</v>
      </c>
      <c r="I244">
        <v>832.84</v>
      </c>
      <c r="J244">
        <f>YEAR(Table1[OrderDate])</f>
        <v>2025</v>
      </c>
      <c r="K244" t="str">
        <f>TEXT(Table1[[#This Row],[OrderDate]],"mmm")</f>
        <v>Aug</v>
      </c>
      <c r="L244" t="str">
        <f>TEXT(Table1[OrderDate],"ddd")</f>
        <v>Tue</v>
      </c>
    </row>
    <row r="245" spans="1:12" x14ac:dyDescent="0.25">
      <c r="A245" t="s">
        <v>268</v>
      </c>
      <c r="B245" s="1">
        <v>45839</v>
      </c>
      <c r="C245" t="s">
        <v>9</v>
      </c>
      <c r="D245" t="s">
        <v>15</v>
      </c>
      <c r="E245" t="s">
        <v>80</v>
      </c>
      <c r="F245">
        <v>1</v>
      </c>
      <c r="G245">
        <v>1462</v>
      </c>
      <c r="H245">
        <v>1462</v>
      </c>
      <c r="I245">
        <v>211.67</v>
      </c>
      <c r="J245">
        <f>YEAR(Table1[OrderDate])</f>
        <v>2025</v>
      </c>
      <c r="K245" t="str">
        <f>TEXT(Table1[[#This Row],[OrderDate]],"mmm")</f>
        <v>Jul</v>
      </c>
      <c r="L245" t="str">
        <f>TEXT(Table1[OrderDate],"ddd")</f>
        <v>Tue</v>
      </c>
    </row>
    <row r="246" spans="1:12" x14ac:dyDescent="0.25">
      <c r="A246" t="s">
        <v>269</v>
      </c>
      <c r="B246" s="1">
        <v>45787</v>
      </c>
      <c r="C246" t="s">
        <v>13</v>
      </c>
      <c r="D246" t="s">
        <v>10</v>
      </c>
      <c r="E246" t="s">
        <v>30</v>
      </c>
      <c r="F246">
        <v>4</v>
      </c>
      <c r="G246">
        <v>1066</v>
      </c>
      <c r="H246">
        <v>4264</v>
      </c>
      <c r="I246">
        <v>1200.07</v>
      </c>
      <c r="J246">
        <f>YEAR(Table1[OrderDate])</f>
        <v>2025</v>
      </c>
      <c r="K246" t="str">
        <f>TEXT(Table1[[#This Row],[OrderDate]],"mmm")</f>
        <v>May</v>
      </c>
      <c r="L246" t="str">
        <f>TEXT(Table1[OrderDate],"ddd")</f>
        <v>Sat</v>
      </c>
    </row>
    <row r="247" spans="1:12" x14ac:dyDescent="0.25">
      <c r="A247" t="s">
        <v>270</v>
      </c>
      <c r="B247" s="1">
        <v>45710</v>
      </c>
      <c r="C247" t="s">
        <v>9</v>
      </c>
      <c r="D247" t="s">
        <v>10</v>
      </c>
      <c r="E247" t="s">
        <v>33</v>
      </c>
      <c r="F247">
        <v>1</v>
      </c>
      <c r="G247">
        <v>1683</v>
      </c>
      <c r="H247">
        <v>1683</v>
      </c>
      <c r="I247">
        <v>235.59</v>
      </c>
      <c r="J247">
        <f>YEAR(Table1[OrderDate])</f>
        <v>2025</v>
      </c>
      <c r="K247" t="str">
        <f>TEXT(Table1[[#This Row],[OrderDate]],"mmm")</f>
        <v>Feb</v>
      </c>
      <c r="L247" t="str">
        <f>TEXT(Table1[OrderDate],"ddd")</f>
        <v>Sat</v>
      </c>
    </row>
    <row r="248" spans="1:12" x14ac:dyDescent="0.25">
      <c r="A248" t="s">
        <v>271</v>
      </c>
      <c r="B248" s="1">
        <v>46006</v>
      </c>
      <c r="C248" t="s">
        <v>28</v>
      </c>
      <c r="D248" t="s">
        <v>10</v>
      </c>
      <c r="E248" t="s">
        <v>33</v>
      </c>
      <c r="F248">
        <v>5</v>
      </c>
      <c r="G248">
        <v>3374</v>
      </c>
      <c r="H248">
        <v>16870</v>
      </c>
      <c r="I248">
        <v>1489.25</v>
      </c>
      <c r="J248">
        <f>YEAR(Table1[OrderDate])</f>
        <v>2025</v>
      </c>
      <c r="K248" t="str">
        <f>TEXT(Table1[[#This Row],[OrderDate]],"mmm")</f>
        <v>Dec</v>
      </c>
      <c r="L248" t="str">
        <f>TEXT(Table1[OrderDate],"ddd")</f>
        <v>Mon</v>
      </c>
    </row>
    <row r="249" spans="1:12" x14ac:dyDescent="0.25">
      <c r="A249" t="s">
        <v>272</v>
      </c>
      <c r="B249" s="1">
        <v>45792</v>
      </c>
      <c r="C249" t="s">
        <v>18</v>
      </c>
      <c r="D249" t="s">
        <v>10</v>
      </c>
      <c r="E249" t="s">
        <v>11</v>
      </c>
      <c r="F249">
        <v>1</v>
      </c>
      <c r="G249">
        <v>491</v>
      </c>
      <c r="H249">
        <v>491</v>
      </c>
      <c r="I249">
        <v>96.95</v>
      </c>
      <c r="J249">
        <f>YEAR(Table1[OrderDate])</f>
        <v>2025</v>
      </c>
      <c r="K249" t="str">
        <f>TEXT(Table1[[#This Row],[OrderDate]],"mmm")</f>
        <v>May</v>
      </c>
      <c r="L249" t="str">
        <f>TEXT(Table1[OrderDate],"ddd")</f>
        <v>Thu</v>
      </c>
    </row>
    <row r="250" spans="1:12" x14ac:dyDescent="0.25">
      <c r="A250" t="s">
        <v>273</v>
      </c>
      <c r="B250" s="1">
        <v>45798</v>
      </c>
      <c r="C250" t="s">
        <v>13</v>
      </c>
      <c r="D250" t="s">
        <v>21</v>
      </c>
      <c r="E250" t="s">
        <v>24</v>
      </c>
      <c r="F250">
        <v>7</v>
      </c>
      <c r="G250">
        <v>3483</v>
      </c>
      <c r="H250">
        <v>24381</v>
      </c>
      <c r="I250">
        <v>4036.58</v>
      </c>
      <c r="J250">
        <f>YEAR(Table1[OrderDate])</f>
        <v>2025</v>
      </c>
      <c r="K250" t="str">
        <f>TEXT(Table1[[#This Row],[OrderDate]],"mmm")</f>
        <v>May</v>
      </c>
      <c r="L250" t="str">
        <f>TEXT(Table1[OrderDate],"ddd")</f>
        <v>Wed</v>
      </c>
    </row>
    <row r="251" spans="1:12" x14ac:dyDescent="0.25">
      <c r="A251" t="s">
        <v>274</v>
      </c>
      <c r="B251" s="1">
        <v>45978</v>
      </c>
      <c r="C251" t="s">
        <v>28</v>
      </c>
      <c r="D251" t="s">
        <v>21</v>
      </c>
      <c r="E251" t="s">
        <v>45</v>
      </c>
      <c r="F251">
        <v>6</v>
      </c>
      <c r="G251">
        <v>2312</v>
      </c>
      <c r="H251">
        <v>13872</v>
      </c>
      <c r="I251">
        <v>1924.96</v>
      </c>
      <c r="J251">
        <f>YEAR(Table1[OrderDate])</f>
        <v>2025</v>
      </c>
      <c r="K251" t="str">
        <f>TEXT(Table1[[#This Row],[OrderDate]],"mmm")</f>
        <v>Nov</v>
      </c>
      <c r="L251" t="str">
        <f>TEXT(Table1[OrderDate],"ddd")</f>
        <v>Mon</v>
      </c>
    </row>
    <row r="252" spans="1:12" x14ac:dyDescent="0.25">
      <c r="A252" t="s">
        <v>275</v>
      </c>
      <c r="B252" s="1">
        <v>45897</v>
      </c>
      <c r="C252" t="s">
        <v>9</v>
      </c>
      <c r="D252" t="s">
        <v>10</v>
      </c>
      <c r="E252" t="s">
        <v>33</v>
      </c>
      <c r="F252">
        <v>5</v>
      </c>
      <c r="G252">
        <v>1568</v>
      </c>
      <c r="H252">
        <v>7840</v>
      </c>
      <c r="I252">
        <v>2172.41</v>
      </c>
      <c r="J252">
        <f>YEAR(Table1[OrderDate])</f>
        <v>2025</v>
      </c>
      <c r="K252" t="str">
        <f>TEXT(Table1[[#This Row],[OrderDate]],"mmm")</f>
        <v>Aug</v>
      </c>
      <c r="L252" t="str">
        <f>TEXT(Table1[OrderDate],"ddd")</f>
        <v>Thu</v>
      </c>
    </row>
    <row r="253" spans="1:12" x14ac:dyDescent="0.25">
      <c r="A253" t="s">
        <v>276</v>
      </c>
      <c r="B253" s="1">
        <v>45802</v>
      </c>
      <c r="C253" t="s">
        <v>28</v>
      </c>
      <c r="D253" t="s">
        <v>21</v>
      </c>
      <c r="E253" t="s">
        <v>45</v>
      </c>
      <c r="F253">
        <v>8</v>
      </c>
      <c r="G253">
        <v>2378</v>
      </c>
      <c r="H253">
        <v>19024</v>
      </c>
      <c r="I253">
        <v>5591.12</v>
      </c>
      <c r="J253">
        <f>YEAR(Table1[OrderDate])</f>
        <v>2025</v>
      </c>
      <c r="K253" t="str">
        <f>TEXT(Table1[[#This Row],[OrderDate]],"mmm")</f>
        <v>May</v>
      </c>
      <c r="L253" t="str">
        <f>TEXT(Table1[OrderDate],"ddd")</f>
        <v>Sun</v>
      </c>
    </row>
    <row r="254" spans="1:12" x14ac:dyDescent="0.25">
      <c r="A254" t="s">
        <v>277</v>
      </c>
      <c r="B254" s="1">
        <v>45692</v>
      </c>
      <c r="C254" t="s">
        <v>28</v>
      </c>
      <c r="D254" t="s">
        <v>10</v>
      </c>
      <c r="E254" t="s">
        <v>11</v>
      </c>
      <c r="F254">
        <v>5</v>
      </c>
      <c r="G254">
        <v>2439</v>
      </c>
      <c r="H254">
        <v>12195</v>
      </c>
      <c r="I254">
        <v>2971.41</v>
      </c>
      <c r="J254">
        <f>YEAR(Table1[OrderDate])</f>
        <v>2025</v>
      </c>
      <c r="K254" t="str">
        <f>TEXT(Table1[[#This Row],[OrderDate]],"mmm")</f>
        <v>Feb</v>
      </c>
      <c r="L254" t="str">
        <f>TEXT(Table1[OrderDate],"ddd")</f>
        <v>Tue</v>
      </c>
    </row>
    <row r="255" spans="1:12" x14ac:dyDescent="0.25">
      <c r="A255" t="s">
        <v>278</v>
      </c>
      <c r="B255" s="1">
        <v>45856</v>
      </c>
      <c r="C255" t="s">
        <v>13</v>
      </c>
      <c r="D255" t="s">
        <v>15</v>
      </c>
      <c r="E255" t="s">
        <v>80</v>
      </c>
      <c r="F255">
        <v>10</v>
      </c>
      <c r="G255">
        <v>4839</v>
      </c>
      <c r="H255">
        <v>48390</v>
      </c>
      <c r="I255">
        <v>9649.52</v>
      </c>
      <c r="J255">
        <f>YEAR(Table1[OrderDate])</f>
        <v>2025</v>
      </c>
      <c r="K255" t="str">
        <f>TEXT(Table1[[#This Row],[OrderDate]],"mmm")</f>
        <v>Jul</v>
      </c>
      <c r="L255" t="str">
        <f>TEXT(Table1[OrderDate],"ddd")</f>
        <v>Fri</v>
      </c>
    </row>
    <row r="256" spans="1:12" x14ac:dyDescent="0.25">
      <c r="A256" t="s">
        <v>279</v>
      </c>
      <c r="B256" s="1">
        <v>45846</v>
      </c>
      <c r="C256" t="s">
        <v>18</v>
      </c>
      <c r="D256" t="s">
        <v>15</v>
      </c>
      <c r="E256" t="s">
        <v>16</v>
      </c>
      <c r="F256">
        <v>2</v>
      </c>
      <c r="G256">
        <v>3807</v>
      </c>
      <c r="H256">
        <v>7614</v>
      </c>
      <c r="I256">
        <v>1503.29</v>
      </c>
      <c r="J256">
        <f>YEAR(Table1[OrderDate])</f>
        <v>2025</v>
      </c>
      <c r="K256" t="str">
        <f>TEXT(Table1[[#This Row],[OrderDate]],"mmm")</f>
        <v>Jul</v>
      </c>
      <c r="L256" t="str">
        <f>TEXT(Table1[OrderDate],"ddd")</f>
        <v>Tue</v>
      </c>
    </row>
    <row r="257" spans="1:12" x14ac:dyDescent="0.25">
      <c r="A257" t="s">
        <v>280</v>
      </c>
      <c r="B257" s="1">
        <v>45824</v>
      </c>
      <c r="C257" t="s">
        <v>13</v>
      </c>
      <c r="D257" t="s">
        <v>10</v>
      </c>
      <c r="E257" t="s">
        <v>30</v>
      </c>
      <c r="F257">
        <v>6</v>
      </c>
      <c r="G257">
        <v>1654</v>
      </c>
      <c r="H257">
        <v>9924</v>
      </c>
      <c r="I257">
        <v>2058.65</v>
      </c>
      <c r="J257">
        <f>YEAR(Table1[OrderDate])</f>
        <v>2025</v>
      </c>
      <c r="K257" t="str">
        <f>TEXT(Table1[[#This Row],[OrderDate]],"mmm")</f>
        <v>Jun</v>
      </c>
      <c r="L257" t="str">
        <f>TEXT(Table1[OrderDate],"ddd")</f>
        <v>Mon</v>
      </c>
    </row>
    <row r="258" spans="1:12" x14ac:dyDescent="0.25">
      <c r="A258" t="s">
        <v>281</v>
      </c>
      <c r="B258" s="1">
        <v>45776</v>
      </c>
      <c r="C258" t="s">
        <v>28</v>
      </c>
      <c r="D258" t="s">
        <v>15</v>
      </c>
      <c r="E258" t="s">
        <v>19</v>
      </c>
      <c r="F258">
        <v>5</v>
      </c>
      <c r="G258">
        <v>3959</v>
      </c>
      <c r="H258">
        <v>19795</v>
      </c>
      <c r="I258">
        <v>3678.42</v>
      </c>
      <c r="J258">
        <f>YEAR(Table1[OrderDate])</f>
        <v>2025</v>
      </c>
      <c r="K258" t="str">
        <f>TEXT(Table1[[#This Row],[OrderDate]],"mmm")</f>
        <v>Apr</v>
      </c>
      <c r="L258" t="str">
        <f>TEXT(Table1[OrderDate],"ddd")</f>
        <v>Tue</v>
      </c>
    </row>
    <row r="259" spans="1:12" x14ac:dyDescent="0.25">
      <c r="A259" t="s">
        <v>282</v>
      </c>
      <c r="B259" s="1">
        <v>45781</v>
      </c>
      <c r="C259" t="s">
        <v>18</v>
      </c>
      <c r="D259" t="s">
        <v>15</v>
      </c>
      <c r="E259" t="s">
        <v>80</v>
      </c>
      <c r="F259">
        <v>3</v>
      </c>
      <c r="G259">
        <v>4668</v>
      </c>
      <c r="H259">
        <v>14004</v>
      </c>
      <c r="I259">
        <v>1670.3</v>
      </c>
      <c r="J259">
        <f>YEAR(Table1[OrderDate])</f>
        <v>2025</v>
      </c>
      <c r="K259" t="str">
        <f>TEXT(Table1[[#This Row],[OrderDate]],"mmm")</f>
        <v>May</v>
      </c>
      <c r="L259" t="str">
        <f>TEXT(Table1[OrderDate],"ddd")</f>
        <v>Sun</v>
      </c>
    </row>
    <row r="260" spans="1:12" x14ac:dyDescent="0.25">
      <c r="A260" t="s">
        <v>283</v>
      </c>
      <c r="B260" s="1">
        <v>45775</v>
      </c>
      <c r="C260" t="s">
        <v>9</v>
      </c>
      <c r="D260" t="s">
        <v>21</v>
      </c>
      <c r="E260" t="s">
        <v>24</v>
      </c>
      <c r="F260">
        <v>5</v>
      </c>
      <c r="G260">
        <v>4098</v>
      </c>
      <c r="H260">
        <v>20490</v>
      </c>
      <c r="I260">
        <v>5835.7</v>
      </c>
      <c r="J260">
        <f>YEAR(Table1[OrderDate])</f>
        <v>2025</v>
      </c>
      <c r="K260" t="str">
        <f>TEXT(Table1[[#This Row],[OrderDate]],"mmm")</f>
        <v>Apr</v>
      </c>
      <c r="L260" t="str">
        <f>TEXT(Table1[OrderDate],"ddd")</f>
        <v>Mon</v>
      </c>
    </row>
    <row r="261" spans="1:12" x14ac:dyDescent="0.25">
      <c r="A261" t="s">
        <v>284</v>
      </c>
      <c r="B261" s="1">
        <v>45991</v>
      </c>
      <c r="C261" t="s">
        <v>28</v>
      </c>
      <c r="D261" t="s">
        <v>15</v>
      </c>
      <c r="E261" t="s">
        <v>16</v>
      </c>
      <c r="F261">
        <v>6</v>
      </c>
      <c r="G261">
        <v>4988</v>
      </c>
      <c r="H261">
        <v>29928</v>
      </c>
      <c r="I261">
        <v>4670.22</v>
      </c>
      <c r="J261">
        <f>YEAR(Table1[OrderDate])</f>
        <v>2025</v>
      </c>
      <c r="K261" t="str">
        <f>TEXT(Table1[[#This Row],[OrderDate]],"mmm")</f>
        <v>Nov</v>
      </c>
      <c r="L261" t="str">
        <f>TEXT(Table1[OrderDate],"ddd")</f>
        <v>Sun</v>
      </c>
    </row>
    <row r="262" spans="1:12" x14ac:dyDescent="0.25">
      <c r="A262" t="s">
        <v>285</v>
      </c>
      <c r="B262" s="1">
        <v>46020</v>
      </c>
      <c r="C262" t="s">
        <v>28</v>
      </c>
      <c r="D262" t="s">
        <v>10</v>
      </c>
      <c r="E262" t="s">
        <v>33</v>
      </c>
      <c r="F262">
        <v>7</v>
      </c>
      <c r="G262">
        <v>3439</v>
      </c>
      <c r="H262">
        <v>24073</v>
      </c>
      <c r="I262">
        <v>3235.06</v>
      </c>
      <c r="J262">
        <f>YEAR(Table1[OrderDate])</f>
        <v>2025</v>
      </c>
      <c r="K262" t="str">
        <f>TEXT(Table1[[#This Row],[OrderDate]],"mmm")</f>
        <v>Dec</v>
      </c>
      <c r="L262" t="str">
        <f>TEXT(Table1[OrderDate],"ddd")</f>
        <v>Mon</v>
      </c>
    </row>
    <row r="263" spans="1:12" x14ac:dyDescent="0.25">
      <c r="A263" t="s">
        <v>286</v>
      </c>
      <c r="B263" s="1">
        <v>45710</v>
      </c>
      <c r="C263" t="s">
        <v>28</v>
      </c>
      <c r="D263" t="s">
        <v>15</v>
      </c>
      <c r="E263" t="s">
        <v>80</v>
      </c>
      <c r="F263">
        <v>10</v>
      </c>
      <c r="G263">
        <v>2417</v>
      </c>
      <c r="H263">
        <v>24170</v>
      </c>
      <c r="I263">
        <v>4172.01</v>
      </c>
      <c r="J263">
        <f>YEAR(Table1[OrderDate])</f>
        <v>2025</v>
      </c>
      <c r="K263" t="str">
        <f>TEXT(Table1[[#This Row],[OrderDate]],"mmm")</f>
        <v>Feb</v>
      </c>
      <c r="L263" t="str">
        <f>TEXT(Table1[OrderDate],"ddd")</f>
        <v>Sat</v>
      </c>
    </row>
    <row r="264" spans="1:12" x14ac:dyDescent="0.25">
      <c r="A264" t="s">
        <v>287</v>
      </c>
      <c r="B264" s="1">
        <v>46017</v>
      </c>
      <c r="C264" t="s">
        <v>9</v>
      </c>
      <c r="D264" t="s">
        <v>10</v>
      </c>
      <c r="E264" t="s">
        <v>33</v>
      </c>
      <c r="F264">
        <v>4</v>
      </c>
      <c r="G264">
        <v>2648</v>
      </c>
      <c r="H264">
        <v>10592</v>
      </c>
      <c r="I264">
        <v>1174.3399999999999</v>
      </c>
      <c r="J264">
        <f>YEAR(Table1[OrderDate])</f>
        <v>2025</v>
      </c>
      <c r="K264" t="str">
        <f>TEXT(Table1[[#This Row],[OrderDate]],"mmm")</f>
        <v>Dec</v>
      </c>
      <c r="L264" t="str">
        <f>TEXT(Table1[OrderDate],"ddd")</f>
        <v>Fri</v>
      </c>
    </row>
    <row r="265" spans="1:12" x14ac:dyDescent="0.25">
      <c r="A265" t="s">
        <v>288</v>
      </c>
      <c r="B265" s="1">
        <v>45732</v>
      </c>
      <c r="C265" t="s">
        <v>18</v>
      </c>
      <c r="D265" t="s">
        <v>10</v>
      </c>
      <c r="E265" t="s">
        <v>30</v>
      </c>
      <c r="F265">
        <v>10</v>
      </c>
      <c r="G265">
        <v>2179</v>
      </c>
      <c r="H265">
        <v>21790</v>
      </c>
      <c r="I265">
        <v>3111.77</v>
      </c>
      <c r="J265">
        <f>YEAR(Table1[OrderDate])</f>
        <v>2025</v>
      </c>
      <c r="K265" t="str">
        <f>TEXT(Table1[[#This Row],[OrderDate]],"mmm")</f>
        <v>Mar</v>
      </c>
      <c r="L265" t="str">
        <f>TEXT(Table1[OrderDate],"ddd")</f>
        <v>Sun</v>
      </c>
    </row>
    <row r="266" spans="1:12" x14ac:dyDescent="0.25">
      <c r="A266" t="s">
        <v>289</v>
      </c>
      <c r="B266" s="1">
        <v>45838</v>
      </c>
      <c r="C266" t="s">
        <v>28</v>
      </c>
      <c r="D266" t="s">
        <v>10</v>
      </c>
      <c r="E266" t="s">
        <v>33</v>
      </c>
      <c r="F266">
        <v>1</v>
      </c>
      <c r="G266">
        <v>394</v>
      </c>
      <c r="H266">
        <v>394</v>
      </c>
      <c r="I266">
        <v>114.03</v>
      </c>
      <c r="J266">
        <f>YEAR(Table1[OrderDate])</f>
        <v>2025</v>
      </c>
      <c r="K266" t="str">
        <f>TEXT(Table1[[#This Row],[OrderDate]],"mmm")</f>
        <v>Jun</v>
      </c>
      <c r="L266" t="str">
        <f>TEXT(Table1[OrderDate],"ddd")</f>
        <v>Mon</v>
      </c>
    </row>
    <row r="267" spans="1:12" x14ac:dyDescent="0.25">
      <c r="A267" t="s">
        <v>290</v>
      </c>
      <c r="B267" s="1">
        <v>45730</v>
      </c>
      <c r="C267" t="s">
        <v>28</v>
      </c>
      <c r="D267" t="s">
        <v>21</v>
      </c>
      <c r="E267" t="s">
        <v>88</v>
      </c>
      <c r="F267">
        <v>6</v>
      </c>
      <c r="G267">
        <v>652</v>
      </c>
      <c r="H267">
        <v>3912</v>
      </c>
      <c r="I267">
        <v>360.21</v>
      </c>
      <c r="J267">
        <f>YEAR(Table1[OrderDate])</f>
        <v>2025</v>
      </c>
      <c r="K267" t="str">
        <f>TEXT(Table1[[#This Row],[OrderDate]],"mmm")</f>
        <v>Mar</v>
      </c>
      <c r="L267" t="str">
        <f>TEXT(Table1[OrderDate],"ddd")</f>
        <v>Fri</v>
      </c>
    </row>
    <row r="268" spans="1:12" x14ac:dyDescent="0.25">
      <c r="A268" t="s">
        <v>291</v>
      </c>
      <c r="B268" s="1">
        <v>45816</v>
      </c>
      <c r="C268" t="s">
        <v>28</v>
      </c>
      <c r="D268" t="s">
        <v>21</v>
      </c>
      <c r="E268" t="s">
        <v>45</v>
      </c>
      <c r="F268">
        <v>10</v>
      </c>
      <c r="G268">
        <v>225</v>
      </c>
      <c r="H268">
        <v>2250</v>
      </c>
      <c r="I268">
        <v>417.39</v>
      </c>
      <c r="J268">
        <f>YEAR(Table1[OrderDate])</f>
        <v>2025</v>
      </c>
      <c r="K268" t="str">
        <f>TEXT(Table1[[#This Row],[OrderDate]],"mmm")</f>
        <v>Jun</v>
      </c>
      <c r="L268" t="str">
        <f>TEXT(Table1[OrderDate],"ddd")</f>
        <v>Sun</v>
      </c>
    </row>
    <row r="269" spans="1:12" x14ac:dyDescent="0.25">
      <c r="A269" t="s">
        <v>292</v>
      </c>
      <c r="B269" s="1">
        <v>45892</v>
      </c>
      <c r="C269" t="s">
        <v>18</v>
      </c>
      <c r="D269" t="s">
        <v>15</v>
      </c>
      <c r="E269" t="s">
        <v>80</v>
      </c>
      <c r="F269">
        <v>10</v>
      </c>
      <c r="G269">
        <v>2179</v>
      </c>
      <c r="H269">
        <v>21790</v>
      </c>
      <c r="I269">
        <v>3477.75</v>
      </c>
      <c r="J269">
        <f>YEAR(Table1[OrderDate])</f>
        <v>2025</v>
      </c>
      <c r="K269" t="str">
        <f>TEXT(Table1[[#This Row],[OrderDate]],"mmm")</f>
        <v>Aug</v>
      </c>
      <c r="L269" t="str">
        <f>TEXT(Table1[OrderDate],"ddd")</f>
        <v>Sat</v>
      </c>
    </row>
    <row r="270" spans="1:12" x14ac:dyDescent="0.25">
      <c r="A270" t="s">
        <v>293</v>
      </c>
      <c r="B270" s="1">
        <v>45779</v>
      </c>
      <c r="C270" t="s">
        <v>18</v>
      </c>
      <c r="D270" t="s">
        <v>10</v>
      </c>
      <c r="E270" t="s">
        <v>30</v>
      </c>
      <c r="F270">
        <v>1</v>
      </c>
      <c r="G270">
        <v>3785</v>
      </c>
      <c r="H270">
        <v>3785</v>
      </c>
      <c r="I270">
        <v>773.99</v>
      </c>
      <c r="J270">
        <f>YEAR(Table1[OrderDate])</f>
        <v>2025</v>
      </c>
      <c r="K270" t="str">
        <f>TEXT(Table1[[#This Row],[OrderDate]],"mmm")</f>
        <v>May</v>
      </c>
      <c r="L270" t="str">
        <f>TEXT(Table1[OrderDate],"ddd")</f>
        <v>Fri</v>
      </c>
    </row>
    <row r="271" spans="1:12" x14ac:dyDescent="0.25">
      <c r="A271" t="s">
        <v>294</v>
      </c>
      <c r="B271" s="1">
        <v>45689</v>
      </c>
      <c r="C271" t="s">
        <v>28</v>
      </c>
      <c r="D271" t="s">
        <v>21</v>
      </c>
      <c r="E271" t="s">
        <v>24</v>
      </c>
      <c r="F271">
        <v>7</v>
      </c>
      <c r="G271">
        <v>1983</v>
      </c>
      <c r="H271">
        <v>13881</v>
      </c>
      <c r="I271">
        <v>3589.05</v>
      </c>
      <c r="J271">
        <f>YEAR(Table1[OrderDate])</f>
        <v>2025</v>
      </c>
      <c r="K271" t="str">
        <f>TEXT(Table1[[#This Row],[OrderDate]],"mmm")</f>
        <v>Feb</v>
      </c>
      <c r="L271" t="str">
        <f>TEXT(Table1[OrderDate],"ddd")</f>
        <v>Sat</v>
      </c>
    </row>
    <row r="272" spans="1:12" x14ac:dyDescent="0.25">
      <c r="A272" t="s">
        <v>295</v>
      </c>
      <c r="B272" s="1">
        <v>45890</v>
      </c>
      <c r="C272" t="s">
        <v>28</v>
      </c>
      <c r="D272" t="s">
        <v>10</v>
      </c>
      <c r="E272" t="s">
        <v>30</v>
      </c>
      <c r="F272">
        <v>3</v>
      </c>
      <c r="G272">
        <v>3232</v>
      </c>
      <c r="H272">
        <v>9696</v>
      </c>
      <c r="I272">
        <v>1166.74</v>
      </c>
      <c r="J272">
        <f>YEAR(Table1[OrderDate])</f>
        <v>2025</v>
      </c>
      <c r="K272" t="str">
        <f>TEXT(Table1[[#This Row],[OrderDate]],"mmm")</f>
        <v>Aug</v>
      </c>
      <c r="L272" t="str">
        <f>TEXT(Table1[OrderDate],"ddd")</f>
        <v>Thu</v>
      </c>
    </row>
    <row r="273" spans="1:12" x14ac:dyDescent="0.25">
      <c r="A273" t="s">
        <v>296</v>
      </c>
      <c r="B273" s="1">
        <v>45775</v>
      </c>
      <c r="C273" t="s">
        <v>18</v>
      </c>
      <c r="D273" t="s">
        <v>10</v>
      </c>
      <c r="E273" t="s">
        <v>33</v>
      </c>
      <c r="F273">
        <v>8</v>
      </c>
      <c r="G273">
        <v>4401</v>
      </c>
      <c r="H273">
        <v>35208</v>
      </c>
      <c r="I273">
        <v>5208.46</v>
      </c>
      <c r="J273">
        <f>YEAR(Table1[OrderDate])</f>
        <v>2025</v>
      </c>
      <c r="K273" t="str">
        <f>TEXT(Table1[[#This Row],[OrderDate]],"mmm")</f>
        <v>Apr</v>
      </c>
      <c r="L273" t="str">
        <f>TEXT(Table1[OrderDate],"ddd")</f>
        <v>Mon</v>
      </c>
    </row>
    <row r="274" spans="1:12" x14ac:dyDescent="0.25">
      <c r="A274" t="s">
        <v>297</v>
      </c>
      <c r="B274" s="1">
        <v>45706</v>
      </c>
      <c r="C274" t="s">
        <v>18</v>
      </c>
      <c r="D274" t="s">
        <v>10</v>
      </c>
      <c r="E274" t="s">
        <v>11</v>
      </c>
      <c r="F274">
        <v>3</v>
      </c>
      <c r="G274">
        <v>3798</v>
      </c>
      <c r="H274">
        <v>11394</v>
      </c>
      <c r="I274">
        <v>2297.38</v>
      </c>
      <c r="J274">
        <f>YEAR(Table1[OrderDate])</f>
        <v>2025</v>
      </c>
      <c r="K274" t="str">
        <f>TEXT(Table1[[#This Row],[OrderDate]],"mmm")</f>
        <v>Feb</v>
      </c>
      <c r="L274" t="str">
        <f>TEXT(Table1[OrderDate],"ddd")</f>
        <v>Tue</v>
      </c>
    </row>
    <row r="275" spans="1:12" x14ac:dyDescent="0.25">
      <c r="A275" t="s">
        <v>298</v>
      </c>
      <c r="B275" s="1">
        <v>45743</v>
      </c>
      <c r="C275" t="s">
        <v>9</v>
      </c>
      <c r="D275" t="s">
        <v>10</v>
      </c>
      <c r="E275" t="s">
        <v>11</v>
      </c>
      <c r="F275">
        <v>10</v>
      </c>
      <c r="G275">
        <v>2756</v>
      </c>
      <c r="H275">
        <v>27560</v>
      </c>
      <c r="I275">
        <v>6093.69</v>
      </c>
      <c r="J275">
        <f>YEAR(Table1[OrderDate])</f>
        <v>2025</v>
      </c>
      <c r="K275" t="str">
        <f>TEXT(Table1[[#This Row],[OrderDate]],"mmm")</f>
        <v>Mar</v>
      </c>
      <c r="L275" t="str">
        <f>TEXT(Table1[OrderDate],"ddd")</f>
        <v>Thu</v>
      </c>
    </row>
    <row r="276" spans="1:12" x14ac:dyDescent="0.25">
      <c r="A276" t="s">
        <v>299</v>
      </c>
      <c r="B276" s="1">
        <v>45727</v>
      </c>
      <c r="C276" t="s">
        <v>9</v>
      </c>
      <c r="D276" t="s">
        <v>21</v>
      </c>
      <c r="E276" t="s">
        <v>24</v>
      </c>
      <c r="F276">
        <v>5</v>
      </c>
      <c r="G276">
        <v>4108</v>
      </c>
      <c r="H276">
        <v>20540</v>
      </c>
      <c r="I276">
        <v>3054.16</v>
      </c>
      <c r="J276">
        <f>YEAR(Table1[OrderDate])</f>
        <v>2025</v>
      </c>
      <c r="K276" t="str">
        <f>TEXT(Table1[[#This Row],[OrderDate]],"mmm")</f>
        <v>Mar</v>
      </c>
      <c r="L276" t="str">
        <f>TEXT(Table1[OrderDate],"ddd")</f>
        <v>Tue</v>
      </c>
    </row>
    <row r="277" spans="1:12" x14ac:dyDescent="0.25">
      <c r="A277" t="s">
        <v>300</v>
      </c>
      <c r="B277" s="1">
        <v>45817</v>
      </c>
      <c r="C277" t="s">
        <v>28</v>
      </c>
      <c r="D277" t="s">
        <v>21</v>
      </c>
      <c r="E277" t="s">
        <v>22</v>
      </c>
      <c r="F277">
        <v>7</v>
      </c>
      <c r="G277">
        <v>124</v>
      </c>
      <c r="H277">
        <v>868</v>
      </c>
      <c r="I277">
        <v>201.62</v>
      </c>
      <c r="J277">
        <f>YEAR(Table1[OrderDate])</f>
        <v>2025</v>
      </c>
      <c r="K277" t="str">
        <f>TEXT(Table1[[#This Row],[OrderDate]],"mmm")</f>
        <v>Jun</v>
      </c>
      <c r="L277" t="str">
        <f>TEXT(Table1[OrderDate],"ddd")</f>
        <v>Mon</v>
      </c>
    </row>
    <row r="278" spans="1:12" x14ac:dyDescent="0.25">
      <c r="A278" t="s">
        <v>301</v>
      </c>
      <c r="B278" s="1">
        <v>45939</v>
      </c>
      <c r="C278" t="s">
        <v>13</v>
      </c>
      <c r="D278" t="s">
        <v>15</v>
      </c>
      <c r="E278" t="s">
        <v>19</v>
      </c>
      <c r="F278">
        <v>8</v>
      </c>
      <c r="G278">
        <v>298</v>
      </c>
      <c r="H278">
        <v>2384</v>
      </c>
      <c r="I278">
        <v>423.91</v>
      </c>
      <c r="J278">
        <f>YEAR(Table1[OrderDate])</f>
        <v>2025</v>
      </c>
      <c r="K278" t="str">
        <f>TEXT(Table1[[#This Row],[OrderDate]],"mmm")</f>
        <v>Oct</v>
      </c>
      <c r="L278" t="str">
        <f>TEXT(Table1[OrderDate],"ddd")</f>
        <v>Thu</v>
      </c>
    </row>
    <row r="279" spans="1:12" x14ac:dyDescent="0.25">
      <c r="A279" t="s">
        <v>302</v>
      </c>
      <c r="B279" s="1">
        <v>45879</v>
      </c>
      <c r="C279" t="s">
        <v>13</v>
      </c>
      <c r="D279" t="s">
        <v>21</v>
      </c>
      <c r="E279" t="s">
        <v>88</v>
      </c>
      <c r="F279">
        <v>8</v>
      </c>
      <c r="G279">
        <v>3467</v>
      </c>
      <c r="H279">
        <v>27736</v>
      </c>
      <c r="I279">
        <v>6927.76</v>
      </c>
      <c r="J279">
        <f>YEAR(Table1[OrderDate])</f>
        <v>2025</v>
      </c>
      <c r="K279" t="str">
        <f>TEXT(Table1[[#This Row],[OrderDate]],"mmm")</f>
        <v>Aug</v>
      </c>
      <c r="L279" t="str">
        <f>TEXT(Table1[OrderDate],"ddd")</f>
        <v>Sun</v>
      </c>
    </row>
    <row r="280" spans="1:12" x14ac:dyDescent="0.25">
      <c r="A280" t="s">
        <v>303</v>
      </c>
      <c r="B280" s="1">
        <v>45714</v>
      </c>
      <c r="C280" t="s">
        <v>18</v>
      </c>
      <c r="D280" t="s">
        <v>10</v>
      </c>
      <c r="E280" t="s">
        <v>30</v>
      </c>
      <c r="F280">
        <v>5</v>
      </c>
      <c r="G280">
        <v>3903</v>
      </c>
      <c r="H280">
        <v>19515</v>
      </c>
      <c r="I280">
        <v>4181.08</v>
      </c>
      <c r="J280">
        <f>YEAR(Table1[OrderDate])</f>
        <v>2025</v>
      </c>
      <c r="K280" t="str">
        <f>TEXT(Table1[[#This Row],[OrderDate]],"mmm")</f>
        <v>Feb</v>
      </c>
      <c r="L280" t="str">
        <f>TEXT(Table1[OrderDate],"ddd")</f>
        <v>Wed</v>
      </c>
    </row>
    <row r="281" spans="1:12" x14ac:dyDescent="0.25">
      <c r="A281" t="s">
        <v>304</v>
      </c>
      <c r="B281" s="1">
        <v>45986</v>
      </c>
      <c r="C281" t="s">
        <v>18</v>
      </c>
      <c r="D281" t="s">
        <v>15</v>
      </c>
      <c r="E281" t="s">
        <v>16</v>
      </c>
      <c r="F281">
        <v>3</v>
      </c>
      <c r="G281">
        <v>2610</v>
      </c>
      <c r="H281">
        <v>7830</v>
      </c>
      <c r="I281">
        <v>1440.66</v>
      </c>
      <c r="J281">
        <f>YEAR(Table1[OrderDate])</f>
        <v>2025</v>
      </c>
      <c r="K281" t="str">
        <f>TEXT(Table1[[#This Row],[OrderDate]],"mmm")</f>
        <v>Nov</v>
      </c>
      <c r="L281" t="str">
        <f>TEXT(Table1[OrderDate],"ddd")</f>
        <v>Tue</v>
      </c>
    </row>
    <row r="282" spans="1:12" x14ac:dyDescent="0.25">
      <c r="A282" t="s">
        <v>305</v>
      </c>
      <c r="B282" s="1">
        <v>45785</v>
      </c>
      <c r="C282" t="s">
        <v>18</v>
      </c>
      <c r="D282" t="s">
        <v>21</v>
      </c>
      <c r="E282" t="s">
        <v>88</v>
      </c>
      <c r="F282">
        <v>7</v>
      </c>
      <c r="G282">
        <v>2912</v>
      </c>
      <c r="H282">
        <v>20384</v>
      </c>
      <c r="I282">
        <v>4766.51</v>
      </c>
      <c r="J282">
        <f>YEAR(Table1[OrderDate])</f>
        <v>2025</v>
      </c>
      <c r="K282" t="str">
        <f>TEXT(Table1[[#This Row],[OrderDate]],"mmm")</f>
        <v>May</v>
      </c>
      <c r="L282" t="str">
        <f>TEXT(Table1[OrderDate],"ddd")</f>
        <v>Thu</v>
      </c>
    </row>
    <row r="283" spans="1:12" x14ac:dyDescent="0.25">
      <c r="A283" t="s">
        <v>306</v>
      </c>
      <c r="B283" s="1">
        <v>45766</v>
      </c>
      <c r="C283" t="s">
        <v>9</v>
      </c>
      <c r="D283" t="s">
        <v>15</v>
      </c>
      <c r="E283" t="s">
        <v>16</v>
      </c>
      <c r="F283">
        <v>4</v>
      </c>
      <c r="G283">
        <v>438</v>
      </c>
      <c r="H283">
        <v>1752</v>
      </c>
      <c r="I283">
        <v>269.64</v>
      </c>
      <c r="J283">
        <f>YEAR(Table1[OrderDate])</f>
        <v>2025</v>
      </c>
      <c r="K283" t="str">
        <f>TEXT(Table1[[#This Row],[OrderDate]],"mmm")</f>
        <v>Apr</v>
      </c>
      <c r="L283" t="str">
        <f>TEXT(Table1[OrderDate],"ddd")</f>
        <v>Sat</v>
      </c>
    </row>
    <row r="284" spans="1:12" x14ac:dyDescent="0.25">
      <c r="A284" t="s">
        <v>307</v>
      </c>
      <c r="B284" s="1">
        <v>45770</v>
      </c>
      <c r="C284" t="s">
        <v>9</v>
      </c>
      <c r="D284" t="s">
        <v>15</v>
      </c>
      <c r="E284" t="s">
        <v>19</v>
      </c>
      <c r="F284">
        <v>4</v>
      </c>
      <c r="G284">
        <v>2871</v>
      </c>
      <c r="H284">
        <v>11484</v>
      </c>
      <c r="I284">
        <v>1587.58</v>
      </c>
      <c r="J284">
        <f>YEAR(Table1[OrderDate])</f>
        <v>2025</v>
      </c>
      <c r="K284" t="str">
        <f>TEXT(Table1[[#This Row],[OrderDate]],"mmm")</f>
        <v>Apr</v>
      </c>
      <c r="L284" t="str">
        <f>TEXT(Table1[OrderDate],"ddd")</f>
        <v>Wed</v>
      </c>
    </row>
    <row r="285" spans="1:12" x14ac:dyDescent="0.25">
      <c r="A285" t="s">
        <v>308</v>
      </c>
      <c r="B285" s="1">
        <v>45953</v>
      </c>
      <c r="C285" t="s">
        <v>18</v>
      </c>
      <c r="D285" t="s">
        <v>15</v>
      </c>
      <c r="E285" t="s">
        <v>16</v>
      </c>
      <c r="F285">
        <v>1</v>
      </c>
      <c r="G285">
        <v>2902</v>
      </c>
      <c r="H285">
        <v>2902</v>
      </c>
      <c r="I285">
        <v>407.58</v>
      </c>
      <c r="J285">
        <f>YEAR(Table1[OrderDate])</f>
        <v>2025</v>
      </c>
      <c r="K285" t="str">
        <f>TEXT(Table1[[#This Row],[OrderDate]],"mmm")</f>
        <v>Oct</v>
      </c>
      <c r="L285" t="str">
        <f>TEXT(Table1[OrderDate],"ddd")</f>
        <v>Thu</v>
      </c>
    </row>
    <row r="286" spans="1:12" x14ac:dyDescent="0.25">
      <c r="A286" t="s">
        <v>309</v>
      </c>
      <c r="B286" s="1">
        <v>46019</v>
      </c>
      <c r="C286" t="s">
        <v>9</v>
      </c>
      <c r="D286" t="s">
        <v>15</v>
      </c>
      <c r="E286" t="s">
        <v>19</v>
      </c>
      <c r="F286">
        <v>10</v>
      </c>
      <c r="G286">
        <v>2952</v>
      </c>
      <c r="H286">
        <v>29520</v>
      </c>
      <c r="I286">
        <v>2414.19</v>
      </c>
      <c r="J286">
        <f>YEAR(Table1[OrderDate])</f>
        <v>2025</v>
      </c>
      <c r="K286" t="str">
        <f>TEXT(Table1[[#This Row],[OrderDate]],"mmm")</f>
        <v>Dec</v>
      </c>
      <c r="L286" t="str">
        <f>TEXT(Table1[OrderDate],"ddd")</f>
        <v>Sun</v>
      </c>
    </row>
    <row r="287" spans="1:12" x14ac:dyDescent="0.25">
      <c r="A287" t="s">
        <v>310</v>
      </c>
      <c r="B287" s="1">
        <v>45978</v>
      </c>
      <c r="C287" t="s">
        <v>13</v>
      </c>
      <c r="D287" t="s">
        <v>15</v>
      </c>
      <c r="E287" t="s">
        <v>16</v>
      </c>
      <c r="F287">
        <v>10</v>
      </c>
      <c r="G287">
        <v>2457</v>
      </c>
      <c r="H287">
        <v>24570</v>
      </c>
      <c r="I287">
        <v>3075.35</v>
      </c>
      <c r="J287">
        <f>YEAR(Table1[OrderDate])</f>
        <v>2025</v>
      </c>
      <c r="K287" t="str">
        <f>TEXT(Table1[[#This Row],[OrderDate]],"mmm")</f>
        <v>Nov</v>
      </c>
      <c r="L287" t="str">
        <f>TEXT(Table1[OrderDate],"ddd")</f>
        <v>Mon</v>
      </c>
    </row>
    <row r="288" spans="1:12" x14ac:dyDescent="0.25">
      <c r="A288" t="s">
        <v>311</v>
      </c>
      <c r="B288" s="1">
        <v>45821</v>
      </c>
      <c r="C288" t="s">
        <v>18</v>
      </c>
      <c r="D288" t="s">
        <v>21</v>
      </c>
      <c r="E288" t="s">
        <v>24</v>
      </c>
      <c r="F288">
        <v>5</v>
      </c>
      <c r="G288">
        <v>1456</v>
      </c>
      <c r="H288">
        <v>7280</v>
      </c>
      <c r="I288">
        <v>1768.87</v>
      </c>
      <c r="J288">
        <f>YEAR(Table1[OrderDate])</f>
        <v>2025</v>
      </c>
      <c r="K288" t="str">
        <f>TEXT(Table1[[#This Row],[OrderDate]],"mmm")</f>
        <v>Jun</v>
      </c>
      <c r="L288" t="str">
        <f>TEXT(Table1[OrderDate],"ddd")</f>
        <v>Fri</v>
      </c>
    </row>
    <row r="289" spans="1:12" x14ac:dyDescent="0.25">
      <c r="A289" t="s">
        <v>312</v>
      </c>
      <c r="B289" s="1">
        <v>45893</v>
      </c>
      <c r="C289" t="s">
        <v>9</v>
      </c>
      <c r="D289" t="s">
        <v>10</v>
      </c>
      <c r="E289" t="s">
        <v>33</v>
      </c>
      <c r="F289">
        <v>8</v>
      </c>
      <c r="G289">
        <v>4323</v>
      </c>
      <c r="H289">
        <v>34584</v>
      </c>
      <c r="I289">
        <v>4841.9399999999996</v>
      </c>
      <c r="J289">
        <f>YEAR(Table1[OrderDate])</f>
        <v>2025</v>
      </c>
      <c r="K289" t="str">
        <f>TEXT(Table1[[#This Row],[OrderDate]],"mmm")</f>
        <v>Aug</v>
      </c>
      <c r="L289" t="str">
        <f>TEXT(Table1[OrderDate],"ddd")</f>
        <v>Sun</v>
      </c>
    </row>
    <row r="290" spans="1:12" x14ac:dyDescent="0.25">
      <c r="A290" t="s">
        <v>313</v>
      </c>
      <c r="B290" s="1">
        <v>45956</v>
      </c>
      <c r="C290" t="s">
        <v>9</v>
      </c>
      <c r="D290" t="s">
        <v>10</v>
      </c>
      <c r="E290" t="s">
        <v>30</v>
      </c>
      <c r="F290">
        <v>2</v>
      </c>
      <c r="G290">
        <v>3132</v>
      </c>
      <c r="H290">
        <v>6264</v>
      </c>
      <c r="I290">
        <v>859.99</v>
      </c>
      <c r="J290">
        <f>YEAR(Table1[OrderDate])</f>
        <v>2025</v>
      </c>
      <c r="K290" t="str">
        <f>TEXT(Table1[[#This Row],[OrderDate]],"mmm")</f>
        <v>Oct</v>
      </c>
      <c r="L290" t="str">
        <f>TEXT(Table1[OrderDate],"ddd")</f>
        <v>Sun</v>
      </c>
    </row>
    <row r="291" spans="1:12" x14ac:dyDescent="0.25">
      <c r="A291" t="s">
        <v>314</v>
      </c>
      <c r="B291" s="1">
        <v>45785</v>
      </c>
      <c r="C291" t="s">
        <v>9</v>
      </c>
      <c r="D291" t="s">
        <v>15</v>
      </c>
      <c r="E291" t="s">
        <v>80</v>
      </c>
      <c r="F291">
        <v>5</v>
      </c>
      <c r="G291">
        <v>3983</v>
      </c>
      <c r="H291">
        <v>19915</v>
      </c>
      <c r="I291">
        <v>4186.67</v>
      </c>
      <c r="J291">
        <f>YEAR(Table1[OrderDate])</f>
        <v>2025</v>
      </c>
      <c r="K291" t="str">
        <f>TEXT(Table1[[#This Row],[OrderDate]],"mmm")</f>
        <v>May</v>
      </c>
      <c r="L291" t="str">
        <f>TEXT(Table1[OrderDate],"ddd")</f>
        <v>Thu</v>
      </c>
    </row>
    <row r="292" spans="1:12" x14ac:dyDescent="0.25">
      <c r="A292" t="s">
        <v>315</v>
      </c>
      <c r="B292" s="1">
        <v>45861</v>
      </c>
      <c r="C292" t="s">
        <v>28</v>
      </c>
      <c r="D292" t="s">
        <v>10</v>
      </c>
      <c r="E292" t="s">
        <v>33</v>
      </c>
      <c r="F292">
        <v>3</v>
      </c>
      <c r="G292">
        <v>4134</v>
      </c>
      <c r="H292">
        <v>12402</v>
      </c>
      <c r="I292">
        <v>2719.24</v>
      </c>
      <c r="J292">
        <f>YEAR(Table1[OrderDate])</f>
        <v>2025</v>
      </c>
      <c r="K292" t="str">
        <f>TEXT(Table1[[#This Row],[OrderDate]],"mmm")</f>
        <v>Jul</v>
      </c>
      <c r="L292" t="str">
        <f>TEXT(Table1[OrderDate],"ddd")</f>
        <v>Wed</v>
      </c>
    </row>
    <row r="293" spans="1:12" x14ac:dyDescent="0.25">
      <c r="A293" t="s">
        <v>316</v>
      </c>
      <c r="B293" s="1">
        <v>45831</v>
      </c>
      <c r="C293" t="s">
        <v>9</v>
      </c>
      <c r="D293" t="s">
        <v>10</v>
      </c>
      <c r="E293" t="s">
        <v>30</v>
      </c>
      <c r="F293">
        <v>3</v>
      </c>
      <c r="G293">
        <v>127</v>
      </c>
      <c r="H293">
        <v>381</v>
      </c>
      <c r="I293">
        <v>86.53</v>
      </c>
      <c r="J293">
        <f>YEAR(Table1[OrderDate])</f>
        <v>2025</v>
      </c>
      <c r="K293" t="str">
        <f>TEXT(Table1[[#This Row],[OrderDate]],"mmm")</f>
        <v>Jun</v>
      </c>
      <c r="L293" t="str">
        <f>TEXT(Table1[OrderDate],"ddd")</f>
        <v>Mon</v>
      </c>
    </row>
    <row r="294" spans="1:12" x14ac:dyDescent="0.25">
      <c r="A294" t="s">
        <v>317</v>
      </c>
      <c r="B294" s="1">
        <v>45934</v>
      </c>
      <c r="C294" t="s">
        <v>9</v>
      </c>
      <c r="D294" t="s">
        <v>10</v>
      </c>
      <c r="E294" t="s">
        <v>30</v>
      </c>
      <c r="F294">
        <v>5</v>
      </c>
      <c r="G294">
        <v>4001</v>
      </c>
      <c r="H294">
        <v>20005</v>
      </c>
      <c r="I294">
        <v>3423.72</v>
      </c>
      <c r="J294">
        <f>YEAR(Table1[OrderDate])</f>
        <v>2025</v>
      </c>
      <c r="K294" t="str">
        <f>TEXT(Table1[[#This Row],[OrderDate]],"mmm")</f>
        <v>Oct</v>
      </c>
      <c r="L294" t="str">
        <f>TEXT(Table1[OrderDate],"ddd")</f>
        <v>Sat</v>
      </c>
    </row>
    <row r="295" spans="1:12" x14ac:dyDescent="0.25">
      <c r="A295" t="s">
        <v>318</v>
      </c>
      <c r="B295" s="1">
        <v>45787</v>
      </c>
      <c r="C295" t="s">
        <v>28</v>
      </c>
      <c r="D295" t="s">
        <v>21</v>
      </c>
      <c r="E295" t="s">
        <v>24</v>
      </c>
      <c r="F295">
        <v>8</v>
      </c>
      <c r="G295">
        <v>2825</v>
      </c>
      <c r="H295">
        <v>22600</v>
      </c>
      <c r="I295">
        <v>6611.82</v>
      </c>
      <c r="J295">
        <f>YEAR(Table1[OrderDate])</f>
        <v>2025</v>
      </c>
      <c r="K295" t="str">
        <f>TEXT(Table1[[#This Row],[OrderDate]],"mmm")</f>
        <v>May</v>
      </c>
      <c r="L295" t="str">
        <f>TEXT(Table1[OrderDate],"ddd")</f>
        <v>Sat</v>
      </c>
    </row>
    <row r="296" spans="1:12" x14ac:dyDescent="0.25">
      <c r="A296" t="s">
        <v>319</v>
      </c>
      <c r="B296" s="1">
        <v>46011</v>
      </c>
      <c r="C296" t="s">
        <v>28</v>
      </c>
      <c r="D296" t="s">
        <v>15</v>
      </c>
      <c r="E296" t="s">
        <v>19</v>
      </c>
      <c r="F296">
        <v>2</v>
      </c>
      <c r="G296">
        <v>1785</v>
      </c>
      <c r="H296">
        <v>3570</v>
      </c>
      <c r="I296">
        <v>880.67</v>
      </c>
      <c r="J296">
        <f>YEAR(Table1[OrderDate])</f>
        <v>2025</v>
      </c>
      <c r="K296" t="str">
        <f>TEXT(Table1[[#This Row],[OrderDate]],"mmm")</f>
        <v>Dec</v>
      </c>
      <c r="L296" t="str">
        <f>TEXT(Table1[OrderDate],"ddd")</f>
        <v>Sat</v>
      </c>
    </row>
    <row r="297" spans="1:12" x14ac:dyDescent="0.25">
      <c r="A297" t="s">
        <v>320</v>
      </c>
      <c r="B297" s="1">
        <v>45996</v>
      </c>
      <c r="C297" t="s">
        <v>28</v>
      </c>
      <c r="D297" t="s">
        <v>21</v>
      </c>
      <c r="E297" t="s">
        <v>24</v>
      </c>
      <c r="F297">
        <v>5</v>
      </c>
      <c r="G297">
        <v>4853</v>
      </c>
      <c r="H297">
        <v>24265</v>
      </c>
      <c r="I297">
        <v>4492.2</v>
      </c>
      <c r="J297">
        <f>YEAR(Table1[OrderDate])</f>
        <v>2025</v>
      </c>
      <c r="K297" t="str">
        <f>TEXT(Table1[[#This Row],[OrderDate]],"mmm")</f>
        <v>Dec</v>
      </c>
      <c r="L297" t="str">
        <f>TEXT(Table1[OrderDate],"ddd")</f>
        <v>Fri</v>
      </c>
    </row>
    <row r="298" spans="1:12" x14ac:dyDescent="0.25">
      <c r="A298" t="s">
        <v>321</v>
      </c>
      <c r="B298" s="1">
        <v>45671</v>
      </c>
      <c r="C298" t="s">
        <v>9</v>
      </c>
      <c r="D298" t="s">
        <v>10</v>
      </c>
      <c r="E298" t="s">
        <v>33</v>
      </c>
      <c r="F298">
        <v>6</v>
      </c>
      <c r="G298">
        <v>3334</v>
      </c>
      <c r="H298">
        <v>20004</v>
      </c>
      <c r="I298">
        <v>2624.34</v>
      </c>
      <c r="J298">
        <f>YEAR(Table1[OrderDate])</f>
        <v>2025</v>
      </c>
      <c r="K298" t="str">
        <f>TEXT(Table1[[#This Row],[OrderDate]],"mmm")</f>
        <v>Jan</v>
      </c>
      <c r="L298" t="str">
        <f>TEXT(Table1[OrderDate],"ddd")</f>
        <v>Tue</v>
      </c>
    </row>
    <row r="299" spans="1:12" x14ac:dyDescent="0.25">
      <c r="A299" t="s">
        <v>322</v>
      </c>
      <c r="B299" s="1">
        <v>45913</v>
      </c>
      <c r="C299" t="s">
        <v>28</v>
      </c>
      <c r="D299" t="s">
        <v>21</v>
      </c>
      <c r="E299" t="s">
        <v>24</v>
      </c>
      <c r="F299">
        <v>10</v>
      </c>
      <c r="G299">
        <v>3135</v>
      </c>
      <c r="H299">
        <v>31350</v>
      </c>
      <c r="I299">
        <v>6829</v>
      </c>
      <c r="J299">
        <f>YEAR(Table1[OrderDate])</f>
        <v>2025</v>
      </c>
      <c r="K299" t="str">
        <f>TEXT(Table1[[#This Row],[OrderDate]],"mmm")</f>
        <v>Sep</v>
      </c>
      <c r="L299" t="str">
        <f>TEXT(Table1[OrderDate],"ddd")</f>
        <v>Sat</v>
      </c>
    </row>
    <row r="300" spans="1:12" x14ac:dyDescent="0.25">
      <c r="A300" t="s">
        <v>323</v>
      </c>
      <c r="B300" s="1">
        <v>45856</v>
      </c>
      <c r="C300" t="s">
        <v>28</v>
      </c>
      <c r="D300" t="s">
        <v>21</v>
      </c>
      <c r="E300" t="s">
        <v>22</v>
      </c>
      <c r="F300">
        <v>9</v>
      </c>
      <c r="G300">
        <v>3170</v>
      </c>
      <c r="H300">
        <v>28530</v>
      </c>
      <c r="I300">
        <v>4077.49</v>
      </c>
      <c r="J300">
        <f>YEAR(Table1[OrderDate])</f>
        <v>2025</v>
      </c>
      <c r="K300" t="str">
        <f>TEXT(Table1[[#This Row],[OrderDate]],"mmm")</f>
        <v>Jul</v>
      </c>
      <c r="L300" t="str">
        <f>TEXT(Table1[OrderDate],"ddd")</f>
        <v>Fri</v>
      </c>
    </row>
    <row r="301" spans="1:12" x14ac:dyDescent="0.25">
      <c r="A301" t="s">
        <v>324</v>
      </c>
      <c r="B301" s="1">
        <v>45827</v>
      </c>
      <c r="C301" t="s">
        <v>9</v>
      </c>
      <c r="D301" t="s">
        <v>15</v>
      </c>
      <c r="E301" t="s">
        <v>80</v>
      </c>
      <c r="F301">
        <v>10</v>
      </c>
      <c r="G301">
        <v>1048</v>
      </c>
      <c r="H301">
        <v>10480</v>
      </c>
      <c r="I301">
        <v>980.93</v>
      </c>
      <c r="J301">
        <f>YEAR(Table1[OrderDate])</f>
        <v>2025</v>
      </c>
      <c r="K301" t="str">
        <f>TEXT(Table1[[#This Row],[OrderDate]],"mmm")</f>
        <v>Jun</v>
      </c>
      <c r="L301" t="str">
        <f>TEXT(Table1[OrderDate],"ddd")</f>
        <v>Thu</v>
      </c>
    </row>
    <row r="302" spans="1:12" x14ac:dyDescent="0.25">
      <c r="A302" t="s">
        <v>325</v>
      </c>
      <c r="B302" s="1">
        <v>45898</v>
      </c>
      <c r="C302" t="s">
        <v>9</v>
      </c>
      <c r="D302" t="s">
        <v>15</v>
      </c>
      <c r="E302" t="s">
        <v>16</v>
      </c>
      <c r="F302">
        <v>5</v>
      </c>
      <c r="G302">
        <v>3503</v>
      </c>
      <c r="H302">
        <v>17515</v>
      </c>
      <c r="I302">
        <v>2173.1</v>
      </c>
      <c r="J302">
        <f>YEAR(Table1[OrderDate])</f>
        <v>2025</v>
      </c>
      <c r="K302" t="str">
        <f>TEXT(Table1[[#This Row],[OrderDate]],"mmm")</f>
        <v>Aug</v>
      </c>
      <c r="L302" t="str">
        <f>TEXT(Table1[OrderDate],"ddd")</f>
        <v>Fri</v>
      </c>
    </row>
    <row r="303" spans="1:12" x14ac:dyDescent="0.25">
      <c r="A303" t="s">
        <v>326</v>
      </c>
      <c r="B303" s="1">
        <v>45688</v>
      </c>
      <c r="C303" t="s">
        <v>13</v>
      </c>
      <c r="D303" t="s">
        <v>21</v>
      </c>
      <c r="E303" t="s">
        <v>45</v>
      </c>
      <c r="F303">
        <v>9</v>
      </c>
      <c r="G303">
        <v>4161</v>
      </c>
      <c r="H303">
        <v>37449</v>
      </c>
      <c r="I303">
        <v>9900.41</v>
      </c>
      <c r="J303">
        <f>YEAR(Table1[OrderDate])</f>
        <v>2025</v>
      </c>
      <c r="K303" t="str">
        <f>TEXT(Table1[[#This Row],[OrderDate]],"mmm")</f>
        <v>Jan</v>
      </c>
      <c r="L303" t="str">
        <f>TEXT(Table1[OrderDate],"ddd")</f>
        <v>Fri</v>
      </c>
    </row>
    <row r="304" spans="1:12" x14ac:dyDescent="0.25">
      <c r="A304" t="s">
        <v>327</v>
      </c>
      <c r="B304" s="1">
        <v>45944</v>
      </c>
      <c r="C304" t="s">
        <v>13</v>
      </c>
      <c r="D304" t="s">
        <v>10</v>
      </c>
      <c r="E304" t="s">
        <v>30</v>
      </c>
      <c r="F304">
        <v>1</v>
      </c>
      <c r="G304">
        <v>789</v>
      </c>
      <c r="H304">
        <v>789</v>
      </c>
      <c r="I304">
        <v>185.72</v>
      </c>
      <c r="J304">
        <f>YEAR(Table1[OrderDate])</f>
        <v>2025</v>
      </c>
      <c r="K304" t="str">
        <f>TEXT(Table1[[#This Row],[OrderDate]],"mmm")</f>
        <v>Oct</v>
      </c>
      <c r="L304" t="str">
        <f>TEXT(Table1[OrderDate],"ddd")</f>
        <v>Tue</v>
      </c>
    </row>
    <row r="305" spans="1:12" x14ac:dyDescent="0.25">
      <c r="A305" t="s">
        <v>328</v>
      </c>
      <c r="B305" s="1">
        <v>45990</v>
      </c>
      <c r="C305" t="s">
        <v>18</v>
      </c>
      <c r="D305" t="s">
        <v>10</v>
      </c>
      <c r="E305" t="s">
        <v>30</v>
      </c>
      <c r="F305">
        <v>9</v>
      </c>
      <c r="G305">
        <v>1400</v>
      </c>
      <c r="H305">
        <v>12600</v>
      </c>
      <c r="I305">
        <v>2555.2800000000002</v>
      </c>
      <c r="J305">
        <f>YEAR(Table1[OrderDate])</f>
        <v>2025</v>
      </c>
      <c r="K305" t="str">
        <f>TEXT(Table1[[#This Row],[OrderDate]],"mmm")</f>
        <v>Nov</v>
      </c>
      <c r="L305" t="str">
        <f>TEXT(Table1[OrderDate],"ddd")</f>
        <v>Sat</v>
      </c>
    </row>
    <row r="306" spans="1:12" x14ac:dyDescent="0.25">
      <c r="A306" t="s">
        <v>329</v>
      </c>
      <c r="B306" s="1">
        <v>45988</v>
      </c>
      <c r="C306" t="s">
        <v>13</v>
      </c>
      <c r="D306" t="s">
        <v>15</v>
      </c>
      <c r="E306" t="s">
        <v>16</v>
      </c>
      <c r="F306">
        <v>4</v>
      </c>
      <c r="G306">
        <v>1352</v>
      </c>
      <c r="H306">
        <v>5408</v>
      </c>
      <c r="I306">
        <v>1327.78</v>
      </c>
      <c r="J306">
        <f>YEAR(Table1[OrderDate])</f>
        <v>2025</v>
      </c>
      <c r="K306" t="str">
        <f>TEXT(Table1[[#This Row],[OrderDate]],"mmm")</f>
        <v>Nov</v>
      </c>
      <c r="L306" t="str">
        <f>TEXT(Table1[OrderDate],"ddd")</f>
        <v>Thu</v>
      </c>
    </row>
    <row r="307" spans="1:12" x14ac:dyDescent="0.25">
      <c r="A307" t="s">
        <v>330</v>
      </c>
      <c r="B307" s="1">
        <v>45659</v>
      </c>
      <c r="C307" t="s">
        <v>9</v>
      </c>
      <c r="D307" t="s">
        <v>10</v>
      </c>
      <c r="E307" t="s">
        <v>11</v>
      </c>
      <c r="F307">
        <v>2</v>
      </c>
      <c r="G307">
        <v>482</v>
      </c>
      <c r="H307">
        <v>964</v>
      </c>
      <c r="I307">
        <v>261.08</v>
      </c>
      <c r="J307">
        <f>YEAR(Table1[OrderDate])</f>
        <v>2025</v>
      </c>
      <c r="K307" t="str">
        <f>TEXT(Table1[[#This Row],[OrderDate]],"mmm")</f>
        <v>Jan</v>
      </c>
      <c r="L307" t="str">
        <f>TEXT(Table1[OrderDate],"ddd")</f>
        <v>Thu</v>
      </c>
    </row>
    <row r="308" spans="1:12" x14ac:dyDescent="0.25">
      <c r="A308" t="s">
        <v>331</v>
      </c>
      <c r="B308" s="1">
        <v>45931</v>
      </c>
      <c r="C308" t="s">
        <v>13</v>
      </c>
      <c r="D308" t="s">
        <v>15</v>
      </c>
      <c r="E308" t="s">
        <v>19</v>
      </c>
      <c r="F308">
        <v>5</v>
      </c>
      <c r="G308">
        <v>1869</v>
      </c>
      <c r="H308">
        <v>9345</v>
      </c>
      <c r="I308">
        <v>769.66</v>
      </c>
      <c r="J308">
        <f>YEAR(Table1[OrderDate])</f>
        <v>2025</v>
      </c>
      <c r="K308" t="str">
        <f>TEXT(Table1[[#This Row],[OrderDate]],"mmm")</f>
        <v>Oct</v>
      </c>
      <c r="L308" t="str">
        <f>TEXT(Table1[OrderDate],"ddd")</f>
        <v>Wed</v>
      </c>
    </row>
    <row r="309" spans="1:12" x14ac:dyDescent="0.25">
      <c r="A309" t="s">
        <v>332</v>
      </c>
      <c r="B309" s="1">
        <v>45832</v>
      </c>
      <c r="C309" t="s">
        <v>13</v>
      </c>
      <c r="D309" t="s">
        <v>21</v>
      </c>
      <c r="E309" t="s">
        <v>22</v>
      </c>
      <c r="F309">
        <v>7</v>
      </c>
      <c r="G309">
        <v>3281</v>
      </c>
      <c r="H309">
        <v>22967</v>
      </c>
      <c r="I309">
        <v>4860.5200000000004</v>
      </c>
      <c r="J309">
        <f>YEAR(Table1[OrderDate])</f>
        <v>2025</v>
      </c>
      <c r="K309" t="str">
        <f>TEXT(Table1[[#This Row],[OrderDate]],"mmm")</f>
        <v>Jun</v>
      </c>
      <c r="L309" t="str">
        <f>TEXT(Table1[OrderDate],"ddd")</f>
        <v>Tue</v>
      </c>
    </row>
    <row r="310" spans="1:12" x14ac:dyDescent="0.25">
      <c r="A310" t="s">
        <v>333</v>
      </c>
      <c r="B310" s="1">
        <v>45943</v>
      </c>
      <c r="C310" t="s">
        <v>28</v>
      </c>
      <c r="D310" t="s">
        <v>21</v>
      </c>
      <c r="E310" t="s">
        <v>24</v>
      </c>
      <c r="F310">
        <v>6</v>
      </c>
      <c r="G310">
        <v>4978</v>
      </c>
      <c r="H310">
        <v>29868</v>
      </c>
      <c r="I310">
        <v>6726.58</v>
      </c>
      <c r="J310">
        <f>YEAR(Table1[OrderDate])</f>
        <v>2025</v>
      </c>
      <c r="K310" t="str">
        <f>TEXT(Table1[[#This Row],[OrderDate]],"mmm")</f>
        <v>Oct</v>
      </c>
      <c r="L310" t="str">
        <f>TEXT(Table1[OrderDate],"ddd")</f>
        <v>Mon</v>
      </c>
    </row>
    <row r="311" spans="1:12" x14ac:dyDescent="0.25">
      <c r="A311" t="s">
        <v>334</v>
      </c>
      <c r="B311" s="1">
        <v>45727</v>
      </c>
      <c r="C311" t="s">
        <v>13</v>
      </c>
      <c r="D311" t="s">
        <v>10</v>
      </c>
      <c r="E311" t="s">
        <v>33</v>
      </c>
      <c r="F311">
        <v>3</v>
      </c>
      <c r="G311">
        <v>4754</v>
      </c>
      <c r="H311">
        <v>14262</v>
      </c>
      <c r="I311">
        <v>1567.85</v>
      </c>
      <c r="J311">
        <f>YEAR(Table1[OrderDate])</f>
        <v>2025</v>
      </c>
      <c r="K311" t="str">
        <f>TEXT(Table1[[#This Row],[OrderDate]],"mmm")</f>
        <v>Mar</v>
      </c>
      <c r="L311" t="str">
        <f>TEXT(Table1[OrderDate],"ddd")</f>
        <v>Tue</v>
      </c>
    </row>
    <row r="312" spans="1:12" x14ac:dyDescent="0.25">
      <c r="A312" t="s">
        <v>335</v>
      </c>
      <c r="B312" s="1">
        <v>45790</v>
      </c>
      <c r="C312" t="s">
        <v>9</v>
      </c>
      <c r="D312" t="s">
        <v>10</v>
      </c>
      <c r="E312" t="s">
        <v>11</v>
      </c>
      <c r="F312">
        <v>6</v>
      </c>
      <c r="G312">
        <v>2581</v>
      </c>
      <c r="H312">
        <v>15486</v>
      </c>
      <c r="I312">
        <v>1439.68</v>
      </c>
      <c r="J312">
        <f>YEAR(Table1[OrderDate])</f>
        <v>2025</v>
      </c>
      <c r="K312" t="str">
        <f>TEXT(Table1[[#This Row],[OrderDate]],"mmm")</f>
        <v>May</v>
      </c>
      <c r="L312" t="str">
        <f>TEXT(Table1[OrderDate],"ddd")</f>
        <v>Tue</v>
      </c>
    </row>
    <row r="313" spans="1:12" x14ac:dyDescent="0.25">
      <c r="A313" t="s">
        <v>336</v>
      </c>
      <c r="B313" s="1">
        <v>45950</v>
      </c>
      <c r="C313" t="s">
        <v>18</v>
      </c>
      <c r="D313" t="s">
        <v>21</v>
      </c>
      <c r="E313" t="s">
        <v>45</v>
      </c>
      <c r="F313">
        <v>3</v>
      </c>
      <c r="G313">
        <v>300</v>
      </c>
      <c r="H313">
        <v>900</v>
      </c>
      <c r="I313">
        <v>195.8</v>
      </c>
      <c r="J313">
        <f>YEAR(Table1[OrderDate])</f>
        <v>2025</v>
      </c>
      <c r="K313" t="str">
        <f>TEXT(Table1[[#This Row],[OrderDate]],"mmm")</f>
        <v>Oct</v>
      </c>
      <c r="L313" t="str">
        <f>TEXT(Table1[OrderDate],"ddd")</f>
        <v>Mon</v>
      </c>
    </row>
    <row r="314" spans="1:12" x14ac:dyDescent="0.25">
      <c r="A314" t="s">
        <v>337</v>
      </c>
      <c r="B314" s="1">
        <v>45834</v>
      </c>
      <c r="C314" t="s">
        <v>28</v>
      </c>
      <c r="D314" t="s">
        <v>21</v>
      </c>
      <c r="E314" t="s">
        <v>45</v>
      </c>
      <c r="F314">
        <v>10</v>
      </c>
      <c r="G314">
        <v>3489</v>
      </c>
      <c r="H314">
        <v>34890</v>
      </c>
      <c r="I314">
        <v>8341.59</v>
      </c>
      <c r="J314">
        <f>YEAR(Table1[OrderDate])</f>
        <v>2025</v>
      </c>
      <c r="K314" t="str">
        <f>TEXT(Table1[[#This Row],[OrderDate]],"mmm")</f>
        <v>Jun</v>
      </c>
      <c r="L314" t="str">
        <f>TEXT(Table1[OrderDate],"ddd")</f>
        <v>Thu</v>
      </c>
    </row>
    <row r="315" spans="1:12" x14ac:dyDescent="0.25">
      <c r="A315" t="s">
        <v>338</v>
      </c>
      <c r="B315" s="1">
        <v>45727</v>
      </c>
      <c r="C315" t="s">
        <v>28</v>
      </c>
      <c r="D315" t="s">
        <v>10</v>
      </c>
      <c r="E315" t="s">
        <v>33</v>
      </c>
      <c r="F315">
        <v>5</v>
      </c>
      <c r="G315">
        <v>3147</v>
      </c>
      <c r="H315">
        <v>15735</v>
      </c>
      <c r="I315">
        <v>1736.95</v>
      </c>
      <c r="J315">
        <f>YEAR(Table1[OrderDate])</f>
        <v>2025</v>
      </c>
      <c r="K315" t="str">
        <f>TEXT(Table1[[#This Row],[OrderDate]],"mmm")</f>
        <v>Mar</v>
      </c>
      <c r="L315" t="str">
        <f>TEXT(Table1[OrderDate],"ddd")</f>
        <v>Tue</v>
      </c>
    </row>
    <row r="316" spans="1:12" x14ac:dyDescent="0.25">
      <c r="A316" t="s">
        <v>339</v>
      </c>
      <c r="B316" s="1">
        <v>45775</v>
      </c>
      <c r="C316" t="s">
        <v>18</v>
      </c>
      <c r="D316" t="s">
        <v>21</v>
      </c>
      <c r="E316" t="s">
        <v>88</v>
      </c>
      <c r="F316">
        <v>10</v>
      </c>
      <c r="G316">
        <v>4247</v>
      </c>
      <c r="H316">
        <v>42470</v>
      </c>
      <c r="I316">
        <v>4185.53</v>
      </c>
      <c r="J316">
        <f>YEAR(Table1[OrderDate])</f>
        <v>2025</v>
      </c>
      <c r="K316" t="str">
        <f>TEXT(Table1[[#This Row],[OrderDate]],"mmm")</f>
        <v>Apr</v>
      </c>
      <c r="L316" t="str">
        <f>TEXT(Table1[OrderDate],"ddd")</f>
        <v>Mon</v>
      </c>
    </row>
    <row r="317" spans="1:12" x14ac:dyDescent="0.25">
      <c r="A317" t="s">
        <v>340</v>
      </c>
      <c r="B317" s="1">
        <v>45748</v>
      </c>
      <c r="C317" t="s">
        <v>18</v>
      </c>
      <c r="D317" t="s">
        <v>15</v>
      </c>
      <c r="E317" t="s">
        <v>80</v>
      </c>
      <c r="F317">
        <v>1</v>
      </c>
      <c r="G317">
        <v>2246</v>
      </c>
      <c r="H317">
        <v>2246</v>
      </c>
      <c r="I317">
        <v>408.98</v>
      </c>
      <c r="J317">
        <f>YEAR(Table1[OrderDate])</f>
        <v>2025</v>
      </c>
      <c r="K317" t="str">
        <f>TEXT(Table1[[#This Row],[OrderDate]],"mmm")</f>
        <v>Apr</v>
      </c>
      <c r="L317" t="str">
        <f>TEXT(Table1[OrderDate],"ddd")</f>
        <v>Tue</v>
      </c>
    </row>
    <row r="318" spans="1:12" x14ac:dyDescent="0.25">
      <c r="A318" t="s">
        <v>341</v>
      </c>
      <c r="B318" s="1">
        <v>45886</v>
      </c>
      <c r="C318" t="s">
        <v>18</v>
      </c>
      <c r="D318" t="s">
        <v>10</v>
      </c>
      <c r="E318" t="s">
        <v>33</v>
      </c>
      <c r="F318">
        <v>9</v>
      </c>
      <c r="G318">
        <v>4980</v>
      </c>
      <c r="H318">
        <v>44820</v>
      </c>
      <c r="I318">
        <v>13336.86</v>
      </c>
      <c r="J318">
        <f>YEAR(Table1[OrderDate])</f>
        <v>2025</v>
      </c>
      <c r="K318" t="str">
        <f>TEXT(Table1[[#This Row],[OrderDate]],"mmm")</f>
        <v>Aug</v>
      </c>
      <c r="L318" t="str">
        <f>TEXT(Table1[OrderDate],"ddd")</f>
        <v>Sun</v>
      </c>
    </row>
    <row r="319" spans="1:12" x14ac:dyDescent="0.25">
      <c r="A319" t="s">
        <v>342</v>
      </c>
      <c r="B319" s="1">
        <v>45887</v>
      </c>
      <c r="C319" t="s">
        <v>13</v>
      </c>
      <c r="D319" t="s">
        <v>15</v>
      </c>
      <c r="E319" t="s">
        <v>80</v>
      </c>
      <c r="F319">
        <v>4</v>
      </c>
      <c r="G319">
        <v>1754</v>
      </c>
      <c r="H319">
        <v>7016</v>
      </c>
      <c r="I319">
        <v>1456.25</v>
      </c>
      <c r="J319">
        <f>YEAR(Table1[OrderDate])</f>
        <v>2025</v>
      </c>
      <c r="K319" t="str">
        <f>TEXT(Table1[[#This Row],[OrderDate]],"mmm")</f>
        <v>Aug</v>
      </c>
      <c r="L319" t="str">
        <f>TEXT(Table1[OrderDate],"ddd")</f>
        <v>Mon</v>
      </c>
    </row>
    <row r="320" spans="1:12" x14ac:dyDescent="0.25">
      <c r="A320" t="s">
        <v>343</v>
      </c>
      <c r="B320" s="1">
        <v>45896</v>
      </c>
      <c r="C320" t="s">
        <v>13</v>
      </c>
      <c r="D320" t="s">
        <v>21</v>
      </c>
      <c r="E320" t="s">
        <v>45</v>
      </c>
      <c r="F320">
        <v>9</v>
      </c>
      <c r="G320">
        <v>1866</v>
      </c>
      <c r="H320">
        <v>16794</v>
      </c>
      <c r="I320">
        <v>1616.11</v>
      </c>
      <c r="J320">
        <f>YEAR(Table1[OrderDate])</f>
        <v>2025</v>
      </c>
      <c r="K320" t="str">
        <f>TEXT(Table1[[#This Row],[OrderDate]],"mmm")</f>
        <v>Aug</v>
      </c>
      <c r="L320" t="str">
        <f>TEXT(Table1[OrderDate],"ddd")</f>
        <v>Wed</v>
      </c>
    </row>
    <row r="321" spans="1:12" x14ac:dyDescent="0.25">
      <c r="A321" t="s">
        <v>344</v>
      </c>
      <c r="B321" s="1">
        <v>45711</v>
      </c>
      <c r="C321" t="s">
        <v>9</v>
      </c>
      <c r="D321" t="s">
        <v>15</v>
      </c>
      <c r="E321" t="s">
        <v>80</v>
      </c>
      <c r="F321">
        <v>6</v>
      </c>
      <c r="G321">
        <v>4615</v>
      </c>
      <c r="H321">
        <v>27690</v>
      </c>
      <c r="I321">
        <v>7958.32</v>
      </c>
      <c r="J321">
        <f>YEAR(Table1[OrderDate])</f>
        <v>2025</v>
      </c>
      <c r="K321" t="str">
        <f>TEXT(Table1[[#This Row],[OrderDate]],"mmm")</f>
        <v>Feb</v>
      </c>
      <c r="L321" t="str">
        <f>TEXT(Table1[OrderDate],"ddd")</f>
        <v>Sun</v>
      </c>
    </row>
    <row r="322" spans="1:12" x14ac:dyDescent="0.25">
      <c r="A322" t="s">
        <v>345</v>
      </c>
      <c r="B322" s="1">
        <v>45684</v>
      </c>
      <c r="C322" t="s">
        <v>9</v>
      </c>
      <c r="D322" t="s">
        <v>10</v>
      </c>
      <c r="E322" t="s">
        <v>33</v>
      </c>
      <c r="F322">
        <v>2</v>
      </c>
      <c r="G322">
        <v>3464</v>
      </c>
      <c r="H322">
        <v>6928</v>
      </c>
      <c r="I322">
        <v>1902.85</v>
      </c>
      <c r="J322">
        <f>YEAR(Table1[OrderDate])</f>
        <v>2025</v>
      </c>
      <c r="K322" t="str">
        <f>TEXT(Table1[[#This Row],[OrderDate]],"mmm")</f>
        <v>Jan</v>
      </c>
      <c r="L322" t="str">
        <f>TEXT(Table1[OrderDate],"ddd")</f>
        <v>Mon</v>
      </c>
    </row>
    <row r="323" spans="1:12" x14ac:dyDescent="0.25">
      <c r="A323" t="s">
        <v>346</v>
      </c>
      <c r="B323" s="1">
        <v>45784</v>
      </c>
      <c r="C323" t="s">
        <v>18</v>
      </c>
      <c r="D323" t="s">
        <v>21</v>
      </c>
      <c r="E323" t="s">
        <v>88</v>
      </c>
      <c r="F323">
        <v>1</v>
      </c>
      <c r="G323">
        <v>689</v>
      </c>
      <c r="H323">
        <v>689</v>
      </c>
      <c r="I323">
        <v>55.67</v>
      </c>
      <c r="J323">
        <f>YEAR(Table1[OrderDate])</f>
        <v>2025</v>
      </c>
      <c r="K323" t="str">
        <f>TEXT(Table1[[#This Row],[OrderDate]],"mmm")</f>
        <v>May</v>
      </c>
      <c r="L323" t="str">
        <f>TEXT(Table1[OrderDate],"ddd")</f>
        <v>Wed</v>
      </c>
    </row>
    <row r="324" spans="1:12" x14ac:dyDescent="0.25">
      <c r="A324" t="s">
        <v>347</v>
      </c>
      <c r="B324" s="1">
        <v>45746</v>
      </c>
      <c r="C324" t="s">
        <v>18</v>
      </c>
      <c r="D324" t="s">
        <v>10</v>
      </c>
      <c r="E324" t="s">
        <v>33</v>
      </c>
      <c r="F324">
        <v>2</v>
      </c>
      <c r="G324">
        <v>2384</v>
      </c>
      <c r="H324">
        <v>4768</v>
      </c>
      <c r="I324">
        <v>823.98</v>
      </c>
      <c r="J324">
        <f>YEAR(Table1[OrderDate])</f>
        <v>2025</v>
      </c>
      <c r="K324" t="str">
        <f>TEXT(Table1[[#This Row],[OrderDate]],"mmm")</f>
        <v>Mar</v>
      </c>
      <c r="L324" t="str">
        <f>TEXT(Table1[OrderDate],"ddd")</f>
        <v>Sun</v>
      </c>
    </row>
    <row r="325" spans="1:12" x14ac:dyDescent="0.25">
      <c r="A325" t="s">
        <v>348</v>
      </c>
      <c r="B325" s="1">
        <v>45918</v>
      </c>
      <c r="C325" t="s">
        <v>9</v>
      </c>
      <c r="D325" t="s">
        <v>15</v>
      </c>
      <c r="E325" t="s">
        <v>19</v>
      </c>
      <c r="F325">
        <v>5</v>
      </c>
      <c r="G325">
        <v>2773</v>
      </c>
      <c r="H325">
        <v>13865</v>
      </c>
      <c r="I325">
        <v>3090.42</v>
      </c>
      <c r="J325">
        <f>YEAR(Table1[OrderDate])</f>
        <v>2025</v>
      </c>
      <c r="K325" t="str">
        <f>TEXT(Table1[[#This Row],[OrderDate]],"mmm")</f>
        <v>Sep</v>
      </c>
      <c r="L325" t="str">
        <f>TEXT(Table1[OrderDate],"ddd")</f>
        <v>Thu</v>
      </c>
    </row>
    <row r="326" spans="1:12" x14ac:dyDescent="0.25">
      <c r="A326" t="s">
        <v>349</v>
      </c>
      <c r="B326" s="1">
        <v>45939</v>
      </c>
      <c r="C326" t="s">
        <v>13</v>
      </c>
      <c r="D326" t="s">
        <v>10</v>
      </c>
      <c r="E326" t="s">
        <v>30</v>
      </c>
      <c r="F326">
        <v>1</v>
      </c>
      <c r="G326">
        <v>4371</v>
      </c>
      <c r="H326">
        <v>4371</v>
      </c>
      <c r="I326">
        <v>824.96</v>
      </c>
      <c r="J326">
        <f>YEAR(Table1[OrderDate])</f>
        <v>2025</v>
      </c>
      <c r="K326" t="str">
        <f>TEXT(Table1[[#This Row],[OrderDate]],"mmm")</f>
        <v>Oct</v>
      </c>
      <c r="L326" t="str">
        <f>TEXT(Table1[OrderDate],"ddd")</f>
        <v>Thu</v>
      </c>
    </row>
    <row r="327" spans="1:12" x14ac:dyDescent="0.25">
      <c r="A327" t="s">
        <v>350</v>
      </c>
      <c r="B327" s="1">
        <v>45877</v>
      </c>
      <c r="C327" t="s">
        <v>18</v>
      </c>
      <c r="D327" t="s">
        <v>15</v>
      </c>
      <c r="E327" t="s">
        <v>16</v>
      </c>
      <c r="F327">
        <v>9</v>
      </c>
      <c r="G327">
        <v>365</v>
      </c>
      <c r="H327">
        <v>3285</v>
      </c>
      <c r="I327">
        <v>918.33</v>
      </c>
      <c r="J327">
        <f>YEAR(Table1[OrderDate])</f>
        <v>2025</v>
      </c>
      <c r="K327" t="str">
        <f>TEXT(Table1[[#This Row],[OrderDate]],"mmm")</f>
        <v>Aug</v>
      </c>
      <c r="L327" t="str">
        <f>TEXT(Table1[OrderDate],"ddd")</f>
        <v>Fri</v>
      </c>
    </row>
    <row r="328" spans="1:12" x14ac:dyDescent="0.25">
      <c r="A328" t="s">
        <v>351</v>
      </c>
      <c r="B328" s="1">
        <v>46021</v>
      </c>
      <c r="C328" t="s">
        <v>28</v>
      </c>
      <c r="D328" t="s">
        <v>15</v>
      </c>
      <c r="E328" t="s">
        <v>19</v>
      </c>
      <c r="F328">
        <v>2</v>
      </c>
      <c r="G328">
        <v>2237</v>
      </c>
      <c r="H328">
        <v>4474</v>
      </c>
      <c r="I328">
        <v>743.85</v>
      </c>
      <c r="J328">
        <f>YEAR(Table1[OrderDate])</f>
        <v>2025</v>
      </c>
      <c r="K328" t="str">
        <f>TEXT(Table1[[#This Row],[OrderDate]],"mmm")</f>
        <v>Dec</v>
      </c>
      <c r="L328" t="str">
        <f>TEXT(Table1[OrderDate],"ddd")</f>
        <v>Tue</v>
      </c>
    </row>
    <row r="329" spans="1:12" x14ac:dyDescent="0.25">
      <c r="A329" t="s">
        <v>352</v>
      </c>
      <c r="B329" s="1">
        <v>45684</v>
      </c>
      <c r="C329" t="s">
        <v>18</v>
      </c>
      <c r="D329" t="s">
        <v>21</v>
      </c>
      <c r="E329" t="s">
        <v>45</v>
      </c>
      <c r="F329">
        <v>2</v>
      </c>
      <c r="G329">
        <v>2320</v>
      </c>
      <c r="H329">
        <v>4640</v>
      </c>
      <c r="I329">
        <v>448.73</v>
      </c>
      <c r="J329">
        <f>YEAR(Table1[OrderDate])</f>
        <v>2025</v>
      </c>
      <c r="K329" t="str">
        <f>TEXT(Table1[[#This Row],[OrderDate]],"mmm")</f>
        <v>Jan</v>
      </c>
      <c r="L329" t="str">
        <f>TEXT(Table1[OrderDate],"ddd")</f>
        <v>Mon</v>
      </c>
    </row>
    <row r="330" spans="1:12" x14ac:dyDescent="0.25">
      <c r="A330" t="s">
        <v>353</v>
      </c>
      <c r="B330" s="1">
        <v>45702</v>
      </c>
      <c r="C330" t="s">
        <v>9</v>
      </c>
      <c r="D330" t="s">
        <v>15</v>
      </c>
      <c r="E330" t="s">
        <v>16</v>
      </c>
      <c r="F330">
        <v>1</v>
      </c>
      <c r="G330">
        <v>1880</v>
      </c>
      <c r="H330">
        <v>1880</v>
      </c>
      <c r="I330">
        <v>361.54</v>
      </c>
      <c r="J330">
        <f>YEAR(Table1[OrderDate])</f>
        <v>2025</v>
      </c>
      <c r="K330" t="str">
        <f>TEXT(Table1[[#This Row],[OrderDate]],"mmm")</f>
        <v>Feb</v>
      </c>
      <c r="L330" t="str">
        <f>TEXT(Table1[OrderDate],"ddd")</f>
        <v>Fri</v>
      </c>
    </row>
    <row r="331" spans="1:12" x14ac:dyDescent="0.25">
      <c r="A331" t="s">
        <v>354</v>
      </c>
      <c r="B331" s="1">
        <v>45978</v>
      </c>
      <c r="C331" t="s">
        <v>28</v>
      </c>
      <c r="D331" t="s">
        <v>21</v>
      </c>
      <c r="E331" t="s">
        <v>24</v>
      </c>
      <c r="F331">
        <v>9</v>
      </c>
      <c r="G331">
        <v>3093</v>
      </c>
      <c r="H331">
        <v>27837</v>
      </c>
      <c r="I331">
        <v>3089.64</v>
      </c>
      <c r="J331">
        <f>YEAR(Table1[OrderDate])</f>
        <v>2025</v>
      </c>
      <c r="K331" t="str">
        <f>TEXT(Table1[[#This Row],[OrderDate]],"mmm")</f>
        <v>Nov</v>
      </c>
      <c r="L331" t="str">
        <f>TEXT(Table1[OrderDate],"ddd")</f>
        <v>Mon</v>
      </c>
    </row>
    <row r="332" spans="1:12" x14ac:dyDescent="0.25">
      <c r="A332" t="s">
        <v>355</v>
      </c>
      <c r="B332" s="1">
        <v>45740</v>
      </c>
      <c r="C332" t="s">
        <v>18</v>
      </c>
      <c r="D332" t="s">
        <v>15</v>
      </c>
      <c r="E332" t="s">
        <v>80</v>
      </c>
      <c r="F332">
        <v>10</v>
      </c>
      <c r="G332">
        <v>705</v>
      </c>
      <c r="H332">
        <v>7050</v>
      </c>
      <c r="I332">
        <v>1524.79</v>
      </c>
      <c r="J332">
        <f>YEAR(Table1[OrderDate])</f>
        <v>2025</v>
      </c>
      <c r="K332" t="str">
        <f>TEXT(Table1[[#This Row],[OrderDate]],"mmm")</f>
        <v>Mar</v>
      </c>
      <c r="L332" t="str">
        <f>TEXT(Table1[OrderDate],"ddd")</f>
        <v>Mon</v>
      </c>
    </row>
    <row r="333" spans="1:12" x14ac:dyDescent="0.25">
      <c r="A333" t="s">
        <v>356</v>
      </c>
      <c r="B333" s="1">
        <v>45900</v>
      </c>
      <c r="C333" t="s">
        <v>13</v>
      </c>
      <c r="D333" t="s">
        <v>21</v>
      </c>
      <c r="E333" t="s">
        <v>24</v>
      </c>
      <c r="F333">
        <v>10</v>
      </c>
      <c r="G333">
        <v>4282</v>
      </c>
      <c r="H333">
        <v>42820</v>
      </c>
      <c r="I333">
        <v>3527.16</v>
      </c>
      <c r="J333">
        <f>YEAR(Table1[OrderDate])</f>
        <v>2025</v>
      </c>
      <c r="K333" t="str">
        <f>TEXT(Table1[[#This Row],[OrderDate]],"mmm")</f>
        <v>Aug</v>
      </c>
      <c r="L333" t="str">
        <f>TEXT(Table1[OrderDate],"ddd")</f>
        <v>Sun</v>
      </c>
    </row>
    <row r="334" spans="1:12" x14ac:dyDescent="0.25">
      <c r="A334" t="s">
        <v>357</v>
      </c>
      <c r="B334" s="1">
        <v>45967</v>
      </c>
      <c r="C334" t="s">
        <v>13</v>
      </c>
      <c r="D334" t="s">
        <v>10</v>
      </c>
      <c r="E334" t="s">
        <v>11</v>
      </c>
      <c r="F334">
        <v>2</v>
      </c>
      <c r="G334">
        <v>916</v>
      </c>
      <c r="H334">
        <v>1832</v>
      </c>
      <c r="I334">
        <v>276.77999999999997</v>
      </c>
      <c r="J334">
        <f>YEAR(Table1[OrderDate])</f>
        <v>2025</v>
      </c>
      <c r="K334" t="str">
        <f>TEXT(Table1[[#This Row],[OrderDate]],"mmm")</f>
        <v>Nov</v>
      </c>
      <c r="L334" t="str">
        <f>TEXT(Table1[OrderDate],"ddd")</f>
        <v>Thu</v>
      </c>
    </row>
    <row r="335" spans="1:12" x14ac:dyDescent="0.25">
      <c r="A335" t="s">
        <v>358</v>
      </c>
      <c r="B335" s="1">
        <v>45810</v>
      </c>
      <c r="C335" t="s">
        <v>18</v>
      </c>
      <c r="D335" t="s">
        <v>10</v>
      </c>
      <c r="E335" t="s">
        <v>11</v>
      </c>
      <c r="F335">
        <v>1</v>
      </c>
      <c r="G335">
        <v>2809</v>
      </c>
      <c r="H335">
        <v>2809</v>
      </c>
      <c r="I335">
        <v>645.83000000000004</v>
      </c>
      <c r="J335">
        <f>YEAR(Table1[OrderDate])</f>
        <v>2025</v>
      </c>
      <c r="K335" t="str">
        <f>TEXT(Table1[[#This Row],[OrderDate]],"mmm")</f>
        <v>Jun</v>
      </c>
      <c r="L335" t="str">
        <f>TEXT(Table1[OrderDate],"ddd")</f>
        <v>Mon</v>
      </c>
    </row>
    <row r="336" spans="1:12" x14ac:dyDescent="0.25">
      <c r="A336" t="s">
        <v>359</v>
      </c>
      <c r="B336" s="1">
        <v>45881</v>
      </c>
      <c r="C336" t="s">
        <v>13</v>
      </c>
      <c r="D336" t="s">
        <v>21</v>
      </c>
      <c r="E336" t="s">
        <v>45</v>
      </c>
      <c r="F336">
        <v>8</v>
      </c>
      <c r="G336">
        <v>3800</v>
      </c>
      <c r="H336">
        <v>30400</v>
      </c>
      <c r="I336">
        <v>6862.78</v>
      </c>
      <c r="J336">
        <f>YEAR(Table1[OrderDate])</f>
        <v>2025</v>
      </c>
      <c r="K336" t="str">
        <f>TEXT(Table1[[#This Row],[OrderDate]],"mmm")</f>
        <v>Aug</v>
      </c>
      <c r="L336" t="str">
        <f>TEXT(Table1[OrderDate],"ddd")</f>
        <v>Tue</v>
      </c>
    </row>
    <row r="337" spans="1:12" x14ac:dyDescent="0.25">
      <c r="A337" t="s">
        <v>360</v>
      </c>
      <c r="B337" s="1">
        <v>45984</v>
      </c>
      <c r="C337" t="s">
        <v>9</v>
      </c>
      <c r="D337" t="s">
        <v>15</v>
      </c>
      <c r="E337" t="s">
        <v>16</v>
      </c>
      <c r="F337">
        <v>7</v>
      </c>
      <c r="G337">
        <v>268</v>
      </c>
      <c r="H337">
        <v>1876</v>
      </c>
      <c r="I337">
        <v>533.55999999999995</v>
      </c>
      <c r="J337">
        <f>YEAR(Table1[OrderDate])</f>
        <v>2025</v>
      </c>
      <c r="K337" t="str">
        <f>TEXT(Table1[[#This Row],[OrderDate]],"mmm")</f>
        <v>Nov</v>
      </c>
      <c r="L337" t="str">
        <f>TEXT(Table1[OrderDate],"ddd")</f>
        <v>Sun</v>
      </c>
    </row>
    <row r="338" spans="1:12" x14ac:dyDescent="0.25">
      <c r="A338" t="s">
        <v>361</v>
      </c>
      <c r="B338" s="1">
        <v>45662</v>
      </c>
      <c r="C338" t="s">
        <v>9</v>
      </c>
      <c r="D338" t="s">
        <v>15</v>
      </c>
      <c r="E338" t="s">
        <v>80</v>
      </c>
      <c r="F338">
        <v>2</v>
      </c>
      <c r="G338">
        <v>3047</v>
      </c>
      <c r="H338">
        <v>6094</v>
      </c>
      <c r="I338">
        <v>1257.1099999999999</v>
      </c>
      <c r="J338">
        <f>YEAR(Table1[OrderDate])</f>
        <v>2025</v>
      </c>
      <c r="K338" t="str">
        <f>TEXT(Table1[[#This Row],[OrderDate]],"mmm")</f>
        <v>Jan</v>
      </c>
      <c r="L338" t="str">
        <f>TEXT(Table1[OrderDate],"ddd")</f>
        <v>Sun</v>
      </c>
    </row>
    <row r="339" spans="1:12" x14ac:dyDescent="0.25">
      <c r="A339" t="s">
        <v>362</v>
      </c>
      <c r="B339" s="1">
        <v>45704</v>
      </c>
      <c r="C339" t="s">
        <v>18</v>
      </c>
      <c r="D339" t="s">
        <v>10</v>
      </c>
      <c r="E339" t="s">
        <v>11</v>
      </c>
      <c r="F339">
        <v>8</v>
      </c>
      <c r="G339">
        <v>4408</v>
      </c>
      <c r="H339">
        <v>35264</v>
      </c>
      <c r="I339">
        <v>5618.71</v>
      </c>
      <c r="J339">
        <f>YEAR(Table1[OrderDate])</f>
        <v>2025</v>
      </c>
      <c r="K339" t="str">
        <f>TEXT(Table1[[#This Row],[OrderDate]],"mmm")</f>
        <v>Feb</v>
      </c>
      <c r="L339" t="str">
        <f>TEXT(Table1[OrderDate],"ddd")</f>
        <v>Sun</v>
      </c>
    </row>
    <row r="340" spans="1:12" x14ac:dyDescent="0.25">
      <c r="A340" t="s">
        <v>363</v>
      </c>
      <c r="B340" s="1">
        <v>45678</v>
      </c>
      <c r="C340" t="s">
        <v>28</v>
      </c>
      <c r="D340" t="s">
        <v>21</v>
      </c>
      <c r="E340" t="s">
        <v>22</v>
      </c>
      <c r="F340">
        <v>8</v>
      </c>
      <c r="G340">
        <v>3912</v>
      </c>
      <c r="H340">
        <v>31296</v>
      </c>
      <c r="I340">
        <v>5728.9</v>
      </c>
      <c r="J340">
        <f>YEAR(Table1[OrderDate])</f>
        <v>2025</v>
      </c>
      <c r="K340" t="str">
        <f>TEXT(Table1[[#This Row],[OrderDate]],"mmm")</f>
        <v>Jan</v>
      </c>
      <c r="L340" t="str">
        <f>TEXT(Table1[OrderDate],"ddd")</f>
        <v>Tue</v>
      </c>
    </row>
    <row r="341" spans="1:12" x14ac:dyDescent="0.25">
      <c r="A341" t="s">
        <v>364</v>
      </c>
      <c r="B341" s="1">
        <v>45970</v>
      </c>
      <c r="C341" t="s">
        <v>13</v>
      </c>
      <c r="D341" t="s">
        <v>15</v>
      </c>
      <c r="E341" t="s">
        <v>80</v>
      </c>
      <c r="F341">
        <v>8</v>
      </c>
      <c r="G341">
        <v>1650</v>
      </c>
      <c r="H341">
        <v>13200</v>
      </c>
      <c r="I341">
        <v>1535.31</v>
      </c>
      <c r="J341">
        <f>YEAR(Table1[OrderDate])</f>
        <v>2025</v>
      </c>
      <c r="K341" t="str">
        <f>TEXT(Table1[[#This Row],[OrderDate]],"mmm")</f>
        <v>Nov</v>
      </c>
      <c r="L341" t="str">
        <f>TEXT(Table1[OrderDate],"ddd")</f>
        <v>Sun</v>
      </c>
    </row>
    <row r="342" spans="1:12" x14ac:dyDescent="0.25">
      <c r="A342" t="s">
        <v>365</v>
      </c>
      <c r="B342" s="1">
        <v>45791</v>
      </c>
      <c r="C342" t="s">
        <v>13</v>
      </c>
      <c r="D342" t="s">
        <v>10</v>
      </c>
      <c r="E342" t="s">
        <v>11</v>
      </c>
      <c r="F342">
        <v>9</v>
      </c>
      <c r="G342">
        <v>1026</v>
      </c>
      <c r="H342">
        <v>9234</v>
      </c>
      <c r="I342">
        <v>1317.64</v>
      </c>
      <c r="J342">
        <f>YEAR(Table1[OrderDate])</f>
        <v>2025</v>
      </c>
      <c r="K342" t="str">
        <f>TEXT(Table1[[#This Row],[OrderDate]],"mmm")</f>
        <v>May</v>
      </c>
      <c r="L342" t="str">
        <f>TEXT(Table1[OrderDate],"ddd")</f>
        <v>Wed</v>
      </c>
    </row>
    <row r="343" spans="1:12" x14ac:dyDescent="0.25">
      <c r="A343" t="s">
        <v>366</v>
      </c>
      <c r="B343" s="1">
        <v>45878</v>
      </c>
      <c r="C343" t="s">
        <v>9</v>
      </c>
      <c r="D343" t="s">
        <v>21</v>
      </c>
      <c r="E343" t="s">
        <v>22</v>
      </c>
      <c r="F343">
        <v>1</v>
      </c>
      <c r="G343">
        <v>3474</v>
      </c>
      <c r="H343">
        <v>3474</v>
      </c>
      <c r="I343">
        <v>985.05</v>
      </c>
      <c r="J343">
        <f>YEAR(Table1[OrderDate])</f>
        <v>2025</v>
      </c>
      <c r="K343" t="str">
        <f>TEXT(Table1[[#This Row],[OrderDate]],"mmm")</f>
        <v>Aug</v>
      </c>
      <c r="L343" t="str">
        <f>TEXT(Table1[OrderDate],"ddd")</f>
        <v>Sat</v>
      </c>
    </row>
    <row r="344" spans="1:12" x14ac:dyDescent="0.25">
      <c r="A344" t="s">
        <v>367</v>
      </c>
      <c r="B344" s="1">
        <v>45789</v>
      </c>
      <c r="C344" t="s">
        <v>18</v>
      </c>
      <c r="D344" t="s">
        <v>15</v>
      </c>
      <c r="E344" t="s">
        <v>16</v>
      </c>
      <c r="F344">
        <v>10</v>
      </c>
      <c r="G344">
        <v>1171</v>
      </c>
      <c r="H344">
        <v>11710</v>
      </c>
      <c r="I344">
        <v>2750.08</v>
      </c>
      <c r="J344">
        <f>YEAR(Table1[OrderDate])</f>
        <v>2025</v>
      </c>
      <c r="K344" t="str">
        <f>TEXT(Table1[[#This Row],[OrderDate]],"mmm")</f>
        <v>May</v>
      </c>
      <c r="L344" t="str">
        <f>TEXT(Table1[OrderDate],"ddd")</f>
        <v>Mon</v>
      </c>
    </row>
    <row r="345" spans="1:12" x14ac:dyDescent="0.25">
      <c r="A345" t="s">
        <v>368</v>
      </c>
      <c r="B345" s="1">
        <v>45917</v>
      </c>
      <c r="C345" t="s">
        <v>13</v>
      </c>
      <c r="D345" t="s">
        <v>15</v>
      </c>
      <c r="E345" t="s">
        <v>16</v>
      </c>
      <c r="F345">
        <v>10</v>
      </c>
      <c r="G345">
        <v>2653</v>
      </c>
      <c r="H345">
        <v>26530</v>
      </c>
      <c r="I345">
        <v>2319.0300000000002</v>
      </c>
      <c r="J345">
        <f>YEAR(Table1[OrderDate])</f>
        <v>2025</v>
      </c>
      <c r="K345" t="str">
        <f>TEXT(Table1[[#This Row],[OrderDate]],"mmm")</f>
        <v>Sep</v>
      </c>
      <c r="L345" t="str">
        <f>TEXT(Table1[OrderDate],"ddd")</f>
        <v>Wed</v>
      </c>
    </row>
    <row r="346" spans="1:12" x14ac:dyDescent="0.25">
      <c r="A346" t="s">
        <v>369</v>
      </c>
      <c r="B346" s="1">
        <v>45881</v>
      </c>
      <c r="C346" t="s">
        <v>9</v>
      </c>
      <c r="D346" t="s">
        <v>10</v>
      </c>
      <c r="E346" t="s">
        <v>33</v>
      </c>
      <c r="F346">
        <v>6</v>
      </c>
      <c r="G346">
        <v>3365</v>
      </c>
      <c r="H346">
        <v>20190</v>
      </c>
      <c r="I346">
        <v>5179.3900000000003</v>
      </c>
      <c r="J346">
        <f>YEAR(Table1[OrderDate])</f>
        <v>2025</v>
      </c>
      <c r="K346" t="str">
        <f>TEXT(Table1[[#This Row],[OrderDate]],"mmm")</f>
        <v>Aug</v>
      </c>
      <c r="L346" t="str">
        <f>TEXT(Table1[OrderDate],"ddd")</f>
        <v>Tue</v>
      </c>
    </row>
    <row r="347" spans="1:12" x14ac:dyDescent="0.25">
      <c r="A347" t="s">
        <v>370</v>
      </c>
      <c r="B347" s="1">
        <v>45942</v>
      </c>
      <c r="C347" t="s">
        <v>13</v>
      </c>
      <c r="D347" t="s">
        <v>10</v>
      </c>
      <c r="E347" t="s">
        <v>30</v>
      </c>
      <c r="F347">
        <v>2</v>
      </c>
      <c r="G347">
        <v>3253</v>
      </c>
      <c r="H347">
        <v>6506</v>
      </c>
      <c r="I347">
        <v>1467.95</v>
      </c>
      <c r="J347">
        <f>YEAR(Table1[OrderDate])</f>
        <v>2025</v>
      </c>
      <c r="K347" t="str">
        <f>TEXT(Table1[[#This Row],[OrderDate]],"mmm")</f>
        <v>Oct</v>
      </c>
      <c r="L347" t="str">
        <f>TEXT(Table1[OrderDate],"ddd")</f>
        <v>Sun</v>
      </c>
    </row>
    <row r="348" spans="1:12" x14ac:dyDescent="0.25">
      <c r="A348" t="s">
        <v>371</v>
      </c>
      <c r="B348" s="1">
        <v>45970</v>
      </c>
      <c r="C348" t="s">
        <v>9</v>
      </c>
      <c r="D348" t="s">
        <v>21</v>
      </c>
      <c r="E348" t="s">
        <v>22</v>
      </c>
      <c r="F348">
        <v>9</v>
      </c>
      <c r="G348">
        <v>465</v>
      </c>
      <c r="H348">
        <v>4185</v>
      </c>
      <c r="I348">
        <v>702.49</v>
      </c>
      <c r="J348">
        <f>YEAR(Table1[OrderDate])</f>
        <v>2025</v>
      </c>
      <c r="K348" t="str">
        <f>TEXT(Table1[[#This Row],[OrderDate]],"mmm")</f>
        <v>Nov</v>
      </c>
      <c r="L348" t="str">
        <f>TEXT(Table1[OrderDate],"ddd")</f>
        <v>Sun</v>
      </c>
    </row>
    <row r="349" spans="1:12" x14ac:dyDescent="0.25">
      <c r="A349" t="s">
        <v>372</v>
      </c>
      <c r="B349" s="1">
        <v>45969</v>
      </c>
      <c r="C349" t="s">
        <v>18</v>
      </c>
      <c r="D349" t="s">
        <v>15</v>
      </c>
      <c r="E349" t="s">
        <v>19</v>
      </c>
      <c r="F349">
        <v>5</v>
      </c>
      <c r="G349">
        <v>4628</v>
      </c>
      <c r="H349">
        <v>23140</v>
      </c>
      <c r="I349">
        <v>6748.83</v>
      </c>
      <c r="J349">
        <f>YEAR(Table1[OrderDate])</f>
        <v>2025</v>
      </c>
      <c r="K349" t="str">
        <f>TEXT(Table1[[#This Row],[OrderDate]],"mmm")</f>
        <v>Nov</v>
      </c>
      <c r="L349" t="str">
        <f>TEXT(Table1[OrderDate],"ddd")</f>
        <v>Sat</v>
      </c>
    </row>
    <row r="350" spans="1:12" x14ac:dyDescent="0.25">
      <c r="A350" t="s">
        <v>373</v>
      </c>
      <c r="B350" s="1">
        <v>45899</v>
      </c>
      <c r="C350" t="s">
        <v>18</v>
      </c>
      <c r="D350" t="s">
        <v>15</v>
      </c>
      <c r="E350" t="s">
        <v>16</v>
      </c>
      <c r="F350">
        <v>4</v>
      </c>
      <c r="G350">
        <v>4697</v>
      </c>
      <c r="H350">
        <v>18788</v>
      </c>
      <c r="I350">
        <v>5611.64</v>
      </c>
      <c r="J350">
        <f>YEAR(Table1[OrderDate])</f>
        <v>2025</v>
      </c>
      <c r="K350" t="str">
        <f>TEXT(Table1[[#This Row],[OrderDate]],"mmm")</f>
        <v>Aug</v>
      </c>
      <c r="L350" t="str">
        <f>TEXT(Table1[OrderDate],"ddd")</f>
        <v>Sat</v>
      </c>
    </row>
    <row r="351" spans="1:12" x14ac:dyDescent="0.25">
      <c r="A351" t="s">
        <v>374</v>
      </c>
      <c r="B351" s="1">
        <v>45718</v>
      </c>
      <c r="C351" t="s">
        <v>13</v>
      </c>
      <c r="D351" t="s">
        <v>10</v>
      </c>
      <c r="E351" t="s">
        <v>33</v>
      </c>
      <c r="F351">
        <v>9</v>
      </c>
      <c r="G351">
        <v>3568</v>
      </c>
      <c r="H351">
        <v>32112</v>
      </c>
      <c r="I351">
        <v>5106.18</v>
      </c>
      <c r="J351">
        <f>YEAR(Table1[OrderDate])</f>
        <v>2025</v>
      </c>
      <c r="K351" t="str">
        <f>TEXT(Table1[[#This Row],[OrderDate]],"mmm")</f>
        <v>Mar</v>
      </c>
      <c r="L351" t="str">
        <f>TEXT(Table1[OrderDate],"ddd")</f>
        <v>Sun</v>
      </c>
    </row>
    <row r="352" spans="1:12" x14ac:dyDescent="0.25">
      <c r="A352" t="s">
        <v>375</v>
      </c>
      <c r="B352" s="1">
        <v>45926</v>
      </c>
      <c r="C352" t="s">
        <v>18</v>
      </c>
      <c r="D352" t="s">
        <v>21</v>
      </c>
      <c r="E352" t="s">
        <v>88</v>
      </c>
      <c r="F352">
        <v>6</v>
      </c>
      <c r="G352">
        <v>4874</v>
      </c>
      <c r="H352">
        <v>29244</v>
      </c>
      <c r="I352">
        <v>5183.8900000000003</v>
      </c>
      <c r="J352">
        <f>YEAR(Table1[OrderDate])</f>
        <v>2025</v>
      </c>
      <c r="K352" t="str">
        <f>TEXT(Table1[[#This Row],[OrderDate]],"mmm")</f>
        <v>Sep</v>
      </c>
      <c r="L352" t="str">
        <f>TEXT(Table1[OrderDate],"ddd")</f>
        <v>Fri</v>
      </c>
    </row>
    <row r="353" spans="1:12" x14ac:dyDescent="0.25">
      <c r="A353" t="s">
        <v>376</v>
      </c>
      <c r="B353" s="1">
        <v>45911</v>
      </c>
      <c r="C353" t="s">
        <v>9</v>
      </c>
      <c r="D353" t="s">
        <v>21</v>
      </c>
      <c r="E353" t="s">
        <v>88</v>
      </c>
      <c r="F353">
        <v>10</v>
      </c>
      <c r="G353">
        <v>2608</v>
      </c>
      <c r="H353">
        <v>26080</v>
      </c>
      <c r="I353">
        <v>5917.51</v>
      </c>
      <c r="J353">
        <f>YEAR(Table1[OrderDate])</f>
        <v>2025</v>
      </c>
      <c r="K353" t="str">
        <f>TEXT(Table1[[#This Row],[OrderDate]],"mmm")</f>
        <v>Sep</v>
      </c>
      <c r="L353" t="str">
        <f>TEXT(Table1[OrderDate],"ddd")</f>
        <v>Thu</v>
      </c>
    </row>
    <row r="354" spans="1:12" x14ac:dyDescent="0.25">
      <c r="A354" t="s">
        <v>377</v>
      </c>
      <c r="B354" s="1">
        <v>45736</v>
      </c>
      <c r="C354" t="s">
        <v>18</v>
      </c>
      <c r="D354" t="s">
        <v>15</v>
      </c>
      <c r="E354" t="s">
        <v>16</v>
      </c>
      <c r="F354">
        <v>6</v>
      </c>
      <c r="G354">
        <v>4118</v>
      </c>
      <c r="H354">
        <v>24708</v>
      </c>
      <c r="I354">
        <v>7191.3</v>
      </c>
      <c r="J354">
        <f>YEAR(Table1[OrderDate])</f>
        <v>2025</v>
      </c>
      <c r="K354" t="str">
        <f>TEXT(Table1[[#This Row],[OrderDate]],"mmm")</f>
        <v>Mar</v>
      </c>
      <c r="L354" t="str">
        <f>TEXT(Table1[OrderDate],"ddd")</f>
        <v>Thu</v>
      </c>
    </row>
    <row r="355" spans="1:12" x14ac:dyDescent="0.25">
      <c r="A355" t="s">
        <v>378</v>
      </c>
      <c r="B355" s="1">
        <v>45717</v>
      </c>
      <c r="C355" t="s">
        <v>9</v>
      </c>
      <c r="D355" t="s">
        <v>15</v>
      </c>
      <c r="E355" t="s">
        <v>16</v>
      </c>
      <c r="F355">
        <v>3</v>
      </c>
      <c r="G355">
        <v>130</v>
      </c>
      <c r="H355">
        <v>390</v>
      </c>
      <c r="I355">
        <v>51.59</v>
      </c>
      <c r="J355">
        <f>YEAR(Table1[OrderDate])</f>
        <v>2025</v>
      </c>
      <c r="K355" t="str">
        <f>TEXT(Table1[[#This Row],[OrderDate]],"mmm")</f>
        <v>Mar</v>
      </c>
      <c r="L355" t="str">
        <f>TEXT(Table1[OrderDate],"ddd")</f>
        <v>Sat</v>
      </c>
    </row>
    <row r="356" spans="1:12" x14ac:dyDescent="0.25">
      <c r="A356" t="s">
        <v>379</v>
      </c>
      <c r="B356" s="1">
        <v>45766</v>
      </c>
      <c r="C356" t="s">
        <v>18</v>
      </c>
      <c r="D356" t="s">
        <v>21</v>
      </c>
      <c r="E356" t="s">
        <v>45</v>
      </c>
      <c r="F356">
        <v>3</v>
      </c>
      <c r="G356">
        <v>980</v>
      </c>
      <c r="H356">
        <v>2940</v>
      </c>
      <c r="I356">
        <v>821.78</v>
      </c>
      <c r="J356">
        <f>YEAR(Table1[OrderDate])</f>
        <v>2025</v>
      </c>
      <c r="K356" t="str">
        <f>TEXT(Table1[[#This Row],[OrderDate]],"mmm")</f>
        <v>Apr</v>
      </c>
      <c r="L356" t="str">
        <f>TEXT(Table1[OrderDate],"ddd")</f>
        <v>Sat</v>
      </c>
    </row>
    <row r="357" spans="1:12" x14ac:dyDescent="0.25">
      <c r="A357" t="s">
        <v>380</v>
      </c>
      <c r="B357" s="1">
        <v>45822</v>
      </c>
      <c r="C357" t="s">
        <v>13</v>
      </c>
      <c r="D357" t="s">
        <v>15</v>
      </c>
      <c r="E357" t="s">
        <v>80</v>
      </c>
      <c r="F357">
        <v>6</v>
      </c>
      <c r="G357">
        <v>3497</v>
      </c>
      <c r="H357">
        <v>20982</v>
      </c>
      <c r="I357">
        <v>3861.54</v>
      </c>
      <c r="J357">
        <f>YEAR(Table1[OrderDate])</f>
        <v>2025</v>
      </c>
      <c r="K357" t="str">
        <f>TEXT(Table1[[#This Row],[OrderDate]],"mmm")</f>
        <v>Jun</v>
      </c>
      <c r="L357" t="str">
        <f>TEXT(Table1[OrderDate],"ddd")</f>
        <v>Sat</v>
      </c>
    </row>
    <row r="358" spans="1:12" x14ac:dyDescent="0.25">
      <c r="A358" t="s">
        <v>381</v>
      </c>
      <c r="B358" s="1">
        <v>45976</v>
      </c>
      <c r="C358" t="s">
        <v>18</v>
      </c>
      <c r="D358" t="s">
        <v>15</v>
      </c>
      <c r="E358" t="s">
        <v>16</v>
      </c>
      <c r="F358">
        <v>4</v>
      </c>
      <c r="G358">
        <v>1059</v>
      </c>
      <c r="H358">
        <v>4236</v>
      </c>
      <c r="I358">
        <v>629.41</v>
      </c>
      <c r="J358">
        <f>YEAR(Table1[OrderDate])</f>
        <v>2025</v>
      </c>
      <c r="K358" t="str">
        <f>TEXT(Table1[[#This Row],[OrderDate]],"mmm")</f>
        <v>Nov</v>
      </c>
      <c r="L358" t="str">
        <f>TEXT(Table1[OrderDate],"ddd")</f>
        <v>Sat</v>
      </c>
    </row>
    <row r="359" spans="1:12" x14ac:dyDescent="0.25">
      <c r="A359" t="s">
        <v>382</v>
      </c>
      <c r="B359" s="1">
        <v>45766</v>
      </c>
      <c r="C359" t="s">
        <v>28</v>
      </c>
      <c r="D359" t="s">
        <v>10</v>
      </c>
      <c r="E359" t="s">
        <v>30</v>
      </c>
      <c r="F359">
        <v>9</v>
      </c>
      <c r="G359">
        <v>472</v>
      </c>
      <c r="H359">
        <v>4248</v>
      </c>
      <c r="I359">
        <v>468.6</v>
      </c>
      <c r="J359">
        <f>YEAR(Table1[OrderDate])</f>
        <v>2025</v>
      </c>
      <c r="K359" t="str">
        <f>TEXT(Table1[[#This Row],[OrderDate]],"mmm")</f>
        <v>Apr</v>
      </c>
      <c r="L359" t="str">
        <f>TEXT(Table1[OrderDate],"ddd")</f>
        <v>Sat</v>
      </c>
    </row>
    <row r="360" spans="1:12" x14ac:dyDescent="0.25">
      <c r="A360" t="s">
        <v>383</v>
      </c>
      <c r="B360" s="1">
        <v>46005</v>
      </c>
      <c r="C360" t="s">
        <v>9</v>
      </c>
      <c r="D360" t="s">
        <v>10</v>
      </c>
      <c r="E360" t="s">
        <v>33</v>
      </c>
      <c r="F360">
        <v>8</v>
      </c>
      <c r="G360">
        <v>3748</v>
      </c>
      <c r="H360">
        <v>29984</v>
      </c>
      <c r="I360">
        <v>4640.46</v>
      </c>
      <c r="J360">
        <f>YEAR(Table1[OrderDate])</f>
        <v>2025</v>
      </c>
      <c r="K360" t="str">
        <f>TEXT(Table1[[#This Row],[OrderDate]],"mmm")</f>
        <v>Dec</v>
      </c>
      <c r="L360" t="str">
        <f>TEXT(Table1[OrderDate],"ddd")</f>
        <v>Sun</v>
      </c>
    </row>
    <row r="361" spans="1:12" x14ac:dyDescent="0.25">
      <c r="A361" t="s">
        <v>384</v>
      </c>
      <c r="B361" s="1">
        <v>46017</v>
      </c>
      <c r="C361" t="s">
        <v>28</v>
      </c>
      <c r="D361" t="s">
        <v>21</v>
      </c>
      <c r="E361" t="s">
        <v>88</v>
      </c>
      <c r="F361">
        <v>5</v>
      </c>
      <c r="G361">
        <v>2044</v>
      </c>
      <c r="H361">
        <v>10220</v>
      </c>
      <c r="I361">
        <v>1679.56</v>
      </c>
      <c r="J361">
        <f>YEAR(Table1[OrderDate])</f>
        <v>2025</v>
      </c>
      <c r="K361" t="str">
        <f>TEXT(Table1[[#This Row],[OrderDate]],"mmm")</f>
        <v>Dec</v>
      </c>
      <c r="L361" t="str">
        <f>TEXT(Table1[OrderDate],"ddd")</f>
        <v>Fri</v>
      </c>
    </row>
    <row r="362" spans="1:12" x14ac:dyDescent="0.25">
      <c r="A362" t="s">
        <v>385</v>
      </c>
      <c r="B362" s="1">
        <v>45732</v>
      </c>
      <c r="C362" t="s">
        <v>18</v>
      </c>
      <c r="D362" t="s">
        <v>10</v>
      </c>
      <c r="E362" t="s">
        <v>30</v>
      </c>
      <c r="F362">
        <v>8</v>
      </c>
      <c r="G362">
        <v>2786</v>
      </c>
      <c r="H362">
        <v>22288</v>
      </c>
      <c r="I362">
        <v>3501.7</v>
      </c>
      <c r="J362">
        <f>YEAR(Table1[OrderDate])</f>
        <v>2025</v>
      </c>
      <c r="K362" t="str">
        <f>TEXT(Table1[[#This Row],[OrderDate]],"mmm")</f>
        <v>Mar</v>
      </c>
      <c r="L362" t="str">
        <f>TEXT(Table1[OrderDate],"ddd")</f>
        <v>Sun</v>
      </c>
    </row>
    <row r="363" spans="1:12" x14ac:dyDescent="0.25">
      <c r="A363" t="s">
        <v>386</v>
      </c>
      <c r="B363" s="1">
        <v>45753</v>
      </c>
      <c r="C363" t="s">
        <v>13</v>
      </c>
      <c r="D363" t="s">
        <v>10</v>
      </c>
      <c r="E363" t="s">
        <v>33</v>
      </c>
      <c r="F363">
        <v>8</v>
      </c>
      <c r="G363">
        <v>373</v>
      </c>
      <c r="H363">
        <v>2984</v>
      </c>
      <c r="I363">
        <v>786.97</v>
      </c>
      <c r="J363">
        <f>YEAR(Table1[OrderDate])</f>
        <v>2025</v>
      </c>
      <c r="K363" t="str">
        <f>TEXT(Table1[[#This Row],[OrderDate]],"mmm")</f>
        <v>Apr</v>
      </c>
      <c r="L363" t="str">
        <f>TEXT(Table1[OrderDate],"ddd")</f>
        <v>Sun</v>
      </c>
    </row>
    <row r="364" spans="1:12" x14ac:dyDescent="0.25">
      <c r="A364" t="s">
        <v>387</v>
      </c>
      <c r="B364" s="1">
        <v>45869</v>
      </c>
      <c r="C364" t="s">
        <v>18</v>
      </c>
      <c r="D364" t="s">
        <v>21</v>
      </c>
      <c r="E364" t="s">
        <v>22</v>
      </c>
      <c r="F364">
        <v>8</v>
      </c>
      <c r="G364">
        <v>4004</v>
      </c>
      <c r="H364">
        <v>32032</v>
      </c>
      <c r="I364">
        <v>7656.62</v>
      </c>
      <c r="J364">
        <f>YEAR(Table1[OrderDate])</f>
        <v>2025</v>
      </c>
      <c r="K364" t="str">
        <f>TEXT(Table1[[#This Row],[OrderDate]],"mmm")</f>
        <v>Jul</v>
      </c>
      <c r="L364" t="str">
        <f>TEXT(Table1[OrderDate],"ddd")</f>
        <v>Thu</v>
      </c>
    </row>
    <row r="365" spans="1:12" x14ac:dyDescent="0.25">
      <c r="A365" t="s">
        <v>388</v>
      </c>
      <c r="B365" s="1">
        <v>45818</v>
      </c>
      <c r="C365" t="s">
        <v>9</v>
      </c>
      <c r="D365" t="s">
        <v>21</v>
      </c>
      <c r="E365" t="s">
        <v>45</v>
      </c>
      <c r="F365">
        <v>1</v>
      </c>
      <c r="G365">
        <v>3079</v>
      </c>
      <c r="H365">
        <v>3079</v>
      </c>
      <c r="I365">
        <v>743.88</v>
      </c>
      <c r="J365">
        <f>YEAR(Table1[OrderDate])</f>
        <v>2025</v>
      </c>
      <c r="K365" t="str">
        <f>TEXT(Table1[[#This Row],[OrderDate]],"mmm")</f>
        <v>Jun</v>
      </c>
      <c r="L365" t="str">
        <f>TEXT(Table1[OrderDate],"ddd")</f>
        <v>Tue</v>
      </c>
    </row>
    <row r="366" spans="1:12" x14ac:dyDescent="0.25">
      <c r="A366" t="s">
        <v>389</v>
      </c>
      <c r="B366" s="1">
        <v>45997</v>
      </c>
      <c r="C366" t="s">
        <v>13</v>
      </c>
      <c r="D366" t="s">
        <v>10</v>
      </c>
      <c r="E366" t="s">
        <v>11</v>
      </c>
      <c r="F366">
        <v>7</v>
      </c>
      <c r="G366">
        <v>2072</v>
      </c>
      <c r="H366">
        <v>14504</v>
      </c>
      <c r="I366">
        <v>1742.41</v>
      </c>
      <c r="J366">
        <f>YEAR(Table1[OrderDate])</f>
        <v>2025</v>
      </c>
      <c r="K366" t="str">
        <f>TEXT(Table1[[#This Row],[OrderDate]],"mmm")</f>
        <v>Dec</v>
      </c>
      <c r="L366" t="str">
        <f>TEXT(Table1[OrderDate],"ddd")</f>
        <v>Sat</v>
      </c>
    </row>
    <row r="367" spans="1:12" x14ac:dyDescent="0.25">
      <c r="A367" t="s">
        <v>390</v>
      </c>
      <c r="B367" s="1">
        <v>45806</v>
      </c>
      <c r="C367" t="s">
        <v>9</v>
      </c>
      <c r="D367" t="s">
        <v>21</v>
      </c>
      <c r="E367" t="s">
        <v>24</v>
      </c>
      <c r="F367">
        <v>7</v>
      </c>
      <c r="G367">
        <v>469</v>
      </c>
      <c r="H367">
        <v>3283</v>
      </c>
      <c r="I367">
        <v>754.37</v>
      </c>
      <c r="J367">
        <f>YEAR(Table1[OrderDate])</f>
        <v>2025</v>
      </c>
      <c r="K367" t="str">
        <f>TEXT(Table1[[#This Row],[OrderDate]],"mmm")</f>
        <v>May</v>
      </c>
      <c r="L367" t="str">
        <f>TEXT(Table1[OrderDate],"ddd")</f>
        <v>Thu</v>
      </c>
    </row>
    <row r="368" spans="1:12" x14ac:dyDescent="0.25">
      <c r="A368" t="s">
        <v>391</v>
      </c>
      <c r="B368" s="1">
        <v>45959</v>
      </c>
      <c r="C368" t="s">
        <v>13</v>
      </c>
      <c r="D368" t="s">
        <v>21</v>
      </c>
      <c r="E368" t="s">
        <v>45</v>
      </c>
      <c r="F368">
        <v>3</v>
      </c>
      <c r="G368">
        <v>4629</v>
      </c>
      <c r="H368">
        <v>13887</v>
      </c>
      <c r="I368">
        <v>2949.05</v>
      </c>
      <c r="J368">
        <f>YEAR(Table1[OrderDate])</f>
        <v>2025</v>
      </c>
      <c r="K368" t="str">
        <f>TEXT(Table1[[#This Row],[OrderDate]],"mmm")</f>
        <v>Oct</v>
      </c>
      <c r="L368" t="str">
        <f>TEXT(Table1[OrderDate],"ddd")</f>
        <v>Wed</v>
      </c>
    </row>
    <row r="369" spans="1:12" x14ac:dyDescent="0.25">
      <c r="A369" t="s">
        <v>392</v>
      </c>
      <c r="B369" s="1">
        <v>45738</v>
      </c>
      <c r="C369" t="s">
        <v>13</v>
      </c>
      <c r="D369" t="s">
        <v>10</v>
      </c>
      <c r="E369" t="s">
        <v>30</v>
      </c>
      <c r="F369">
        <v>5</v>
      </c>
      <c r="G369">
        <v>1668</v>
      </c>
      <c r="H369">
        <v>8340</v>
      </c>
      <c r="I369">
        <v>1584.18</v>
      </c>
      <c r="J369">
        <f>YEAR(Table1[OrderDate])</f>
        <v>2025</v>
      </c>
      <c r="K369" t="str">
        <f>TEXT(Table1[[#This Row],[OrderDate]],"mmm")</f>
        <v>Mar</v>
      </c>
      <c r="L369" t="str">
        <f>TEXT(Table1[OrderDate],"ddd")</f>
        <v>Sat</v>
      </c>
    </row>
    <row r="370" spans="1:12" x14ac:dyDescent="0.25">
      <c r="A370" t="s">
        <v>393</v>
      </c>
      <c r="B370" s="1">
        <v>45816</v>
      </c>
      <c r="C370" t="s">
        <v>13</v>
      </c>
      <c r="D370" t="s">
        <v>21</v>
      </c>
      <c r="E370" t="s">
        <v>45</v>
      </c>
      <c r="F370">
        <v>2</v>
      </c>
      <c r="G370">
        <v>2716</v>
      </c>
      <c r="H370">
        <v>5432</v>
      </c>
      <c r="I370">
        <v>481.82</v>
      </c>
      <c r="J370">
        <f>YEAR(Table1[OrderDate])</f>
        <v>2025</v>
      </c>
      <c r="K370" t="str">
        <f>TEXT(Table1[[#This Row],[OrderDate]],"mmm")</f>
        <v>Jun</v>
      </c>
      <c r="L370" t="str">
        <f>TEXT(Table1[OrderDate],"ddd")</f>
        <v>Sun</v>
      </c>
    </row>
    <row r="371" spans="1:12" x14ac:dyDescent="0.25">
      <c r="A371" t="s">
        <v>394</v>
      </c>
      <c r="B371" s="1">
        <v>45868</v>
      </c>
      <c r="C371" t="s">
        <v>28</v>
      </c>
      <c r="D371" t="s">
        <v>10</v>
      </c>
      <c r="E371" t="s">
        <v>33</v>
      </c>
      <c r="F371">
        <v>2</v>
      </c>
      <c r="G371">
        <v>4931</v>
      </c>
      <c r="H371">
        <v>9862</v>
      </c>
      <c r="I371">
        <v>2304.85</v>
      </c>
      <c r="J371">
        <f>YEAR(Table1[OrderDate])</f>
        <v>2025</v>
      </c>
      <c r="K371" t="str">
        <f>TEXT(Table1[[#This Row],[OrderDate]],"mmm")</f>
        <v>Jul</v>
      </c>
      <c r="L371" t="str">
        <f>TEXT(Table1[OrderDate],"ddd")</f>
        <v>Wed</v>
      </c>
    </row>
    <row r="372" spans="1:12" x14ac:dyDescent="0.25">
      <c r="A372" t="s">
        <v>395</v>
      </c>
      <c r="B372" s="1">
        <v>45831</v>
      </c>
      <c r="C372" t="s">
        <v>13</v>
      </c>
      <c r="D372" t="s">
        <v>21</v>
      </c>
      <c r="E372" t="s">
        <v>24</v>
      </c>
      <c r="F372">
        <v>5</v>
      </c>
      <c r="G372">
        <v>1781</v>
      </c>
      <c r="H372">
        <v>8905</v>
      </c>
      <c r="I372">
        <v>1391.96</v>
      </c>
      <c r="J372">
        <f>YEAR(Table1[OrderDate])</f>
        <v>2025</v>
      </c>
      <c r="K372" t="str">
        <f>TEXT(Table1[[#This Row],[OrderDate]],"mmm")</f>
        <v>Jun</v>
      </c>
      <c r="L372" t="str">
        <f>TEXT(Table1[OrderDate],"ddd")</f>
        <v>Mon</v>
      </c>
    </row>
    <row r="373" spans="1:12" x14ac:dyDescent="0.25">
      <c r="A373" t="s">
        <v>396</v>
      </c>
      <c r="B373" s="1">
        <v>45783</v>
      </c>
      <c r="C373" t="s">
        <v>28</v>
      </c>
      <c r="D373" t="s">
        <v>15</v>
      </c>
      <c r="E373" t="s">
        <v>80</v>
      </c>
      <c r="F373">
        <v>10</v>
      </c>
      <c r="G373">
        <v>4579</v>
      </c>
      <c r="H373">
        <v>45790</v>
      </c>
      <c r="I373">
        <v>7005</v>
      </c>
      <c r="J373">
        <f>YEAR(Table1[OrderDate])</f>
        <v>2025</v>
      </c>
      <c r="K373" t="str">
        <f>TEXT(Table1[[#This Row],[OrderDate]],"mmm")</f>
        <v>May</v>
      </c>
      <c r="L373" t="str">
        <f>TEXT(Table1[OrderDate],"ddd")</f>
        <v>Tue</v>
      </c>
    </row>
    <row r="374" spans="1:12" x14ac:dyDescent="0.25">
      <c r="A374" t="s">
        <v>397</v>
      </c>
      <c r="B374" s="1">
        <v>45742</v>
      </c>
      <c r="C374" t="s">
        <v>28</v>
      </c>
      <c r="D374" t="s">
        <v>21</v>
      </c>
      <c r="E374" t="s">
        <v>45</v>
      </c>
      <c r="F374">
        <v>10</v>
      </c>
      <c r="G374">
        <v>3505</v>
      </c>
      <c r="H374">
        <v>35050</v>
      </c>
      <c r="I374">
        <v>7767.95</v>
      </c>
      <c r="J374">
        <f>YEAR(Table1[OrderDate])</f>
        <v>2025</v>
      </c>
      <c r="K374" t="str">
        <f>TEXT(Table1[[#This Row],[OrderDate]],"mmm")</f>
        <v>Mar</v>
      </c>
      <c r="L374" t="str">
        <f>TEXT(Table1[OrderDate],"ddd")</f>
        <v>Wed</v>
      </c>
    </row>
    <row r="375" spans="1:12" x14ac:dyDescent="0.25">
      <c r="A375" t="s">
        <v>398</v>
      </c>
      <c r="B375" s="1">
        <v>45757</v>
      </c>
      <c r="C375" t="s">
        <v>28</v>
      </c>
      <c r="D375" t="s">
        <v>21</v>
      </c>
      <c r="E375" t="s">
        <v>24</v>
      </c>
      <c r="F375">
        <v>1</v>
      </c>
      <c r="G375">
        <v>3215</v>
      </c>
      <c r="H375">
        <v>3215</v>
      </c>
      <c r="I375">
        <v>280.60000000000002</v>
      </c>
      <c r="J375">
        <f>YEAR(Table1[OrderDate])</f>
        <v>2025</v>
      </c>
      <c r="K375" t="str">
        <f>TEXT(Table1[[#This Row],[OrderDate]],"mmm")</f>
        <v>Apr</v>
      </c>
      <c r="L375" t="str">
        <f>TEXT(Table1[OrderDate],"ddd")</f>
        <v>Thu</v>
      </c>
    </row>
    <row r="376" spans="1:12" x14ac:dyDescent="0.25">
      <c r="A376" t="s">
        <v>399</v>
      </c>
      <c r="B376" s="1">
        <v>45952</v>
      </c>
      <c r="C376" t="s">
        <v>28</v>
      </c>
      <c r="D376" t="s">
        <v>15</v>
      </c>
      <c r="E376" t="s">
        <v>16</v>
      </c>
      <c r="F376">
        <v>9</v>
      </c>
      <c r="G376">
        <v>1677</v>
      </c>
      <c r="H376">
        <v>15093</v>
      </c>
      <c r="I376">
        <v>1808.3</v>
      </c>
      <c r="J376">
        <f>YEAR(Table1[OrderDate])</f>
        <v>2025</v>
      </c>
      <c r="K376" t="str">
        <f>TEXT(Table1[[#This Row],[OrderDate]],"mmm")</f>
        <v>Oct</v>
      </c>
      <c r="L376" t="str">
        <f>TEXT(Table1[OrderDate],"ddd")</f>
        <v>Wed</v>
      </c>
    </row>
    <row r="377" spans="1:12" x14ac:dyDescent="0.25">
      <c r="A377" t="s">
        <v>400</v>
      </c>
      <c r="B377" s="1">
        <v>45752</v>
      </c>
      <c r="C377" t="s">
        <v>13</v>
      </c>
      <c r="D377" t="s">
        <v>15</v>
      </c>
      <c r="E377" t="s">
        <v>16</v>
      </c>
      <c r="F377">
        <v>8</v>
      </c>
      <c r="G377">
        <v>3947</v>
      </c>
      <c r="H377">
        <v>31576</v>
      </c>
      <c r="I377">
        <v>7600.25</v>
      </c>
      <c r="J377">
        <f>YEAR(Table1[OrderDate])</f>
        <v>2025</v>
      </c>
      <c r="K377" t="str">
        <f>TEXT(Table1[[#This Row],[OrderDate]],"mmm")</f>
        <v>Apr</v>
      </c>
      <c r="L377" t="str">
        <f>TEXT(Table1[OrderDate],"ddd")</f>
        <v>Sat</v>
      </c>
    </row>
    <row r="378" spans="1:12" x14ac:dyDescent="0.25">
      <c r="A378" t="s">
        <v>401</v>
      </c>
      <c r="B378" s="1">
        <v>45952</v>
      </c>
      <c r="C378" t="s">
        <v>18</v>
      </c>
      <c r="D378" t="s">
        <v>10</v>
      </c>
      <c r="E378" t="s">
        <v>33</v>
      </c>
      <c r="F378">
        <v>10</v>
      </c>
      <c r="G378">
        <v>2974</v>
      </c>
      <c r="H378">
        <v>29740</v>
      </c>
      <c r="I378">
        <v>7260.19</v>
      </c>
      <c r="J378">
        <f>YEAR(Table1[OrderDate])</f>
        <v>2025</v>
      </c>
      <c r="K378" t="str">
        <f>TEXT(Table1[[#This Row],[OrderDate]],"mmm")</f>
        <v>Oct</v>
      </c>
      <c r="L378" t="str">
        <f>TEXT(Table1[OrderDate],"ddd")</f>
        <v>Wed</v>
      </c>
    </row>
    <row r="379" spans="1:12" x14ac:dyDescent="0.25">
      <c r="A379" t="s">
        <v>402</v>
      </c>
      <c r="B379" s="1">
        <v>46009</v>
      </c>
      <c r="C379" t="s">
        <v>18</v>
      </c>
      <c r="D379" t="s">
        <v>10</v>
      </c>
      <c r="E379" t="s">
        <v>33</v>
      </c>
      <c r="F379">
        <v>5</v>
      </c>
      <c r="G379">
        <v>4081</v>
      </c>
      <c r="H379">
        <v>20405</v>
      </c>
      <c r="I379">
        <v>5845.53</v>
      </c>
      <c r="J379">
        <f>YEAR(Table1[OrderDate])</f>
        <v>2025</v>
      </c>
      <c r="K379" t="str">
        <f>TEXT(Table1[[#This Row],[OrderDate]],"mmm")</f>
        <v>Dec</v>
      </c>
      <c r="L379" t="str">
        <f>TEXT(Table1[OrderDate],"ddd")</f>
        <v>Thu</v>
      </c>
    </row>
    <row r="380" spans="1:12" x14ac:dyDescent="0.25">
      <c r="A380" t="s">
        <v>403</v>
      </c>
      <c r="B380" s="1">
        <v>45908</v>
      </c>
      <c r="C380" t="s">
        <v>28</v>
      </c>
      <c r="D380" t="s">
        <v>10</v>
      </c>
      <c r="E380" t="s">
        <v>11</v>
      </c>
      <c r="F380">
        <v>1</v>
      </c>
      <c r="G380">
        <v>1762</v>
      </c>
      <c r="H380">
        <v>1762</v>
      </c>
      <c r="I380">
        <v>440.34</v>
      </c>
      <c r="J380">
        <f>YEAR(Table1[OrderDate])</f>
        <v>2025</v>
      </c>
      <c r="K380" t="str">
        <f>TEXT(Table1[[#This Row],[OrderDate]],"mmm")</f>
        <v>Sep</v>
      </c>
      <c r="L380" t="str">
        <f>TEXT(Table1[OrderDate],"ddd")</f>
        <v>Mon</v>
      </c>
    </row>
    <row r="381" spans="1:12" x14ac:dyDescent="0.25">
      <c r="A381" t="s">
        <v>404</v>
      </c>
      <c r="B381" s="1">
        <v>45767</v>
      </c>
      <c r="C381" t="s">
        <v>13</v>
      </c>
      <c r="D381" t="s">
        <v>15</v>
      </c>
      <c r="E381" t="s">
        <v>19</v>
      </c>
      <c r="F381">
        <v>5</v>
      </c>
      <c r="G381">
        <v>4943</v>
      </c>
      <c r="H381">
        <v>24715</v>
      </c>
      <c r="I381">
        <v>5208.75</v>
      </c>
      <c r="J381">
        <f>YEAR(Table1[OrderDate])</f>
        <v>2025</v>
      </c>
      <c r="K381" t="str">
        <f>TEXT(Table1[[#This Row],[OrderDate]],"mmm")</f>
        <v>Apr</v>
      </c>
      <c r="L381" t="str">
        <f>TEXT(Table1[OrderDate],"ddd")</f>
        <v>Sun</v>
      </c>
    </row>
    <row r="382" spans="1:12" x14ac:dyDescent="0.25">
      <c r="A382" t="s">
        <v>405</v>
      </c>
      <c r="B382" s="1">
        <v>45863</v>
      </c>
      <c r="C382" t="s">
        <v>9</v>
      </c>
      <c r="D382" t="s">
        <v>10</v>
      </c>
      <c r="E382" t="s">
        <v>33</v>
      </c>
      <c r="F382">
        <v>2</v>
      </c>
      <c r="G382">
        <v>1053</v>
      </c>
      <c r="H382">
        <v>2106</v>
      </c>
      <c r="I382">
        <v>280.5</v>
      </c>
      <c r="J382">
        <f>YEAR(Table1[OrderDate])</f>
        <v>2025</v>
      </c>
      <c r="K382" t="str">
        <f>TEXT(Table1[[#This Row],[OrderDate]],"mmm")</f>
        <v>Jul</v>
      </c>
      <c r="L382" t="str">
        <f>TEXT(Table1[OrderDate],"ddd")</f>
        <v>Fri</v>
      </c>
    </row>
    <row r="383" spans="1:12" x14ac:dyDescent="0.25">
      <c r="A383" t="s">
        <v>406</v>
      </c>
      <c r="B383" s="1">
        <v>45711</v>
      </c>
      <c r="C383" t="s">
        <v>18</v>
      </c>
      <c r="D383" t="s">
        <v>10</v>
      </c>
      <c r="E383" t="s">
        <v>30</v>
      </c>
      <c r="F383">
        <v>4</v>
      </c>
      <c r="G383">
        <v>1227</v>
      </c>
      <c r="H383">
        <v>4908</v>
      </c>
      <c r="I383">
        <v>1073.79</v>
      </c>
      <c r="J383">
        <f>YEAR(Table1[OrderDate])</f>
        <v>2025</v>
      </c>
      <c r="K383" t="str">
        <f>TEXT(Table1[[#This Row],[OrderDate]],"mmm")</f>
        <v>Feb</v>
      </c>
      <c r="L383" t="str">
        <f>TEXT(Table1[OrderDate],"ddd")</f>
        <v>Sun</v>
      </c>
    </row>
    <row r="384" spans="1:12" x14ac:dyDescent="0.25">
      <c r="A384" t="s">
        <v>407</v>
      </c>
      <c r="B384" s="1">
        <v>45772</v>
      </c>
      <c r="C384" t="s">
        <v>28</v>
      </c>
      <c r="D384" t="s">
        <v>15</v>
      </c>
      <c r="E384" t="s">
        <v>16</v>
      </c>
      <c r="F384">
        <v>9</v>
      </c>
      <c r="G384">
        <v>3195</v>
      </c>
      <c r="H384">
        <v>28755</v>
      </c>
      <c r="I384">
        <v>4236.42</v>
      </c>
      <c r="J384">
        <f>YEAR(Table1[OrderDate])</f>
        <v>2025</v>
      </c>
      <c r="K384" t="str">
        <f>TEXT(Table1[[#This Row],[OrderDate]],"mmm")</f>
        <v>Apr</v>
      </c>
      <c r="L384" t="str">
        <f>TEXT(Table1[OrderDate],"ddd")</f>
        <v>Fri</v>
      </c>
    </row>
    <row r="385" spans="1:12" x14ac:dyDescent="0.25">
      <c r="A385" t="s">
        <v>408</v>
      </c>
      <c r="B385" s="1">
        <v>45861</v>
      </c>
      <c r="C385" t="s">
        <v>28</v>
      </c>
      <c r="D385" t="s">
        <v>21</v>
      </c>
      <c r="E385" t="s">
        <v>45</v>
      </c>
      <c r="F385">
        <v>2</v>
      </c>
      <c r="G385">
        <v>980</v>
      </c>
      <c r="H385">
        <v>1960</v>
      </c>
      <c r="I385">
        <v>330.78</v>
      </c>
      <c r="J385">
        <f>YEAR(Table1[OrderDate])</f>
        <v>2025</v>
      </c>
      <c r="K385" t="str">
        <f>TEXT(Table1[[#This Row],[OrderDate]],"mmm")</f>
        <v>Jul</v>
      </c>
      <c r="L385" t="str">
        <f>TEXT(Table1[OrderDate],"ddd")</f>
        <v>Wed</v>
      </c>
    </row>
    <row r="386" spans="1:12" x14ac:dyDescent="0.25">
      <c r="A386" t="s">
        <v>409</v>
      </c>
      <c r="B386" s="1">
        <v>45667</v>
      </c>
      <c r="C386" t="s">
        <v>18</v>
      </c>
      <c r="D386" t="s">
        <v>15</v>
      </c>
      <c r="E386" t="s">
        <v>16</v>
      </c>
      <c r="F386">
        <v>8</v>
      </c>
      <c r="G386">
        <v>1887</v>
      </c>
      <c r="H386">
        <v>15096</v>
      </c>
      <c r="I386">
        <v>2803.32</v>
      </c>
      <c r="J386">
        <f>YEAR(Table1[OrderDate])</f>
        <v>2025</v>
      </c>
      <c r="K386" t="str">
        <f>TEXT(Table1[[#This Row],[OrderDate]],"mmm")</f>
        <v>Jan</v>
      </c>
      <c r="L386" t="str">
        <f>TEXT(Table1[OrderDate],"ddd")</f>
        <v>Fri</v>
      </c>
    </row>
    <row r="387" spans="1:12" x14ac:dyDescent="0.25">
      <c r="A387" t="s">
        <v>410</v>
      </c>
      <c r="B387" s="1">
        <v>45978</v>
      </c>
      <c r="C387" t="s">
        <v>9</v>
      </c>
      <c r="D387" t="s">
        <v>15</v>
      </c>
      <c r="E387" t="s">
        <v>16</v>
      </c>
      <c r="F387">
        <v>10</v>
      </c>
      <c r="G387">
        <v>4457</v>
      </c>
      <c r="H387">
        <v>44570</v>
      </c>
      <c r="I387">
        <v>3896.56</v>
      </c>
      <c r="J387">
        <f>YEAR(Table1[OrderDate])</f>
        <v>2025</v>
      </c>
      <c r="K387" t="str">
        <f>TEXT(Table1[[#This Row],[OrderDate]],"mmm")</f>
        <v>Nov</v>
      </c>
      <c r="L387" t="str">
        <f>TEXT(Table1[OrderDate],"ddd")</f>
        <v>Mon</v>
      </c>
    </row>
    <row r="388" spans="1:12" x14ac:dyDescent="0.25">
      <c r="A388" t="s">
        <v>411</v>
      </c>
      <c r="B388" s="1">
        <v>45852</v>
      </c>
      <c r="C388" t="s">
        <v>9</v>
      </c>
      <c r="D388" t="s">
        <v>10</v>
      </c>
      <c r="E388" t="s">
        <v>33</v>
      </c>
      <c r="F388">
        <v>6</v>
      </c>
      <c r="G388">
        <v>3211</v>
      </c>
      <c r="H388">
        <v>19266</v>
      </c>
      <c r="I388">
        <v>4921.09</v>
      </c>
      <c r="J388">
        <f>YEAR(Table1[OrderDate])</f>
        <v>2025</v>
      </c>
      <c r="K388" t="str">
        <f>TEXT(Table1[[#This Row],[OrderDate]],"mmm")</f>
        <v>Jul</v>
      </c>
      <c r="L388" t="str">
        <f>TEXT(Table1[OrderDate],"ddd")</f>
        <v>Mon</v>
      </c>
    </row>
    <row r="389" spans="1:12" x14ac:dyDescent="0.25">
      <c r="A389" t="s">
        <v>412</v>
      </c>
      <c r="B389" s="1">
        <v>45921</v>
      </c>
      <c r="C389" t="s">
        <v>13</v>
      </c>
      <c r="D389" t="s">
        <v>21</v>
      </c>
      <c r="E389" t="s">
        <v>22</v>
      </c>
      <c r="F389">
        <v>10</v>
      </c>
      <c r="G389">
        <v>889</v>
      </c>
      <c r="H389">
        <v>8890</v>
      </c>
      <c r="I389">
        <v>1508.6</v>
      </c>
      <c r="J389">
        <f>YEAR(Table1[OrderDate])</f>
        <v>2025</v>
      </c>
      <c r="K389" t="str">
        <f>TEXT(Table1[[#This Row],[OrderDate]],"mmm")</f>
        <v>Sep</v>
      </c>
      <c r="L389" t="str">
        <f>TEXT(Table1[OrderDate],"ddd")</f>
        <v>Sun</v>
      </c>
    </row>
    <row r="390" spans="1:12" x14ac:dyDescent="0.25">
      <c r="A390" t="s">
        <v>413</v>
      </c>
      <c r="B390" s="1">
        <v>45845</v>
      </c>
      <c r="C390" t="s">
        <v>13</v>
      </c>
      <c r="D390" t="s">
        <v>15</v>
      </c>
      <c r="E390" t="s">
        <v>19</v>
      </c>
      <c r="F390">
        <v>6</v>
      </c>
      <c r="G390">
        <v>1677</v>
      </c>
      <c r="H390">
        <v>10062</v>
      </c>
      <c r="I390">
        <v>1327.17</v>
      </c>
      <c r="J390">
        <f>YEAR(Table1[OrderDate])</f>
        <v>2025</v>
      </c>
      <c r="K390" t="str">
        <f>TEXT(Table1[[#This Row],[OrderDate]],"mmm")</f>
        <v>Jul</v>
      </c>
      <c r="L390" t="str">
        <f>TEXT(Table1[OrderDate],"ddd")</f>
        <v>Mon</v>
      </c>
    </row>
    <row r="391" spans="1:12" x14ac:dyDescent="0.25">
      <c r="A391" t="s">
        <v>414</v>
      </c>
      <c r="B391" s="1">
        <v>45774</v>
      </c>
      <c r="C391" t="s">
        <v>13</v>
      </c>
      <c r="D391" t="s">
        <v>21</v>
      </c>
      <c r="E391" t="s">
        <v>45</v>
      </c>
      <c r="F391">
        <v>2</v>
      </c>
      <c r="G391">
        <v>3002</v>
      </c>
      <c r="H391">
        <v>6004</v>
      </c>
      <c r="I391">
        <v>879.51</v>
      </c>
      <c r="J391">
        <f>YEAR(Table1[OrderDate])</f>
        <v>2025</v>
      </c>
      <c r="K391" t="str">
        <f>TEXT(Table1[[#This Row],[OrderDate]],"mmm")</f>
        <v>Apr</v>
      </c>
      <c r="L391" t="str">
        <f>TEXT(Table1[OrderDate],"ddd")</f>
        <v>Sun</v>
      </c>
    </row>
    <row r="392" spans="1:12" x14ac:dyDescent="0.25">
      <c r="A392" t="s">
        <v>415</v>
      </c>
      <c r="B392" s="1">
        <v>45703</v>
      </c>
      <c r="C392" t="s">
        <v>18</v>
      </c>
      <c r="D392" t="s">
        <v>10</v>
      </c>
      <c r="E392" t="s">
        <v>33</v>
      </c>
      <c r="F392">
        <v>6</v>
      </c>
      <c r="G392">
        <v>3134</v>
      </c>
      <c r="H392">
        <v>18804</v>
      </c>
      <c r="I392">
        <v>3732.66</v>
      </c>
      <c r="J392">
        <f>YEAR(Table1[OrderDate])</f>
        <v>2025</v>
      </c>
      <c r="K392" t="str">
        <f>TEXT(Table1[[#This Row],[OrderDate]],"mmm")</f>
        <v>Feb</v>
      </c>
      <c r="L392" t="str">
        <f>TEXT(Table1[OrderDate],"ddd")</f>
        <v>Sat</v>
      </c>
    </row>
    <row r="393" spans="1:12" x14ac:dyDescent="0.25">
      <c r="A393" t="s">
        <v>416</v>
      </c>
      <c r="B393" s="1">
        <v>45659</v>
      </c>
      <c r="C393" t="s">
        <v>28</v>
      </c>
      <c r="D393" t="s">
        <v>10</v>
      </c>
      <c r="E393" t="s">
        <v>30</v>
      </c>
      <c r="F393">
        <v>8</v>
      </c>
      <c r="G393">
        <v>2543</v>
      </c>
      <c r="H393">
        <v>20344</v>
      </c>
      <c r="I393">
        <v>5830.26</v>
      </c>
      <c r="J393">
        <f>YEAR(Table1[OrderDate])</f>
        <v>2025</v>
      </c>
      <c r="K393" t="str">
        <f>TEXT(Table1[[#This Row],[OrderDate]],"mmm")</f>
        <v>Jan</v>
      </c>
      <c r="L393" t="str">
        <f>TEXT(Table1[OrderDate],"ddd")</f>
        <v>Thu</v>
      </c>
    </row>
    <row r="394" spans="1:12" x14ac:dyDescent="0.25">
      <c r="A394" t="s">
        <v>417</v>
      </c>
      <c r="B394" s="1">
        <v>45717</v>
      </c>
      <c r="C394" t="s">
        <v>28</v>
      </c>
      <c r="D394" t="s">
        <v>21</v>
      </c>
      <c r="E394" t="s">
        <v>24</v>
      </c>
      <c r="F394">
        <v>4</v>
      </c>
      <c r="G394">
        <v>3932</v>
      </c>
      <c r="H394">
        <v>15728</v>
      </c>
      <c r="I394">
        <v>2900.11</v>
      </c>
      <c r="J394">
        <f>YEAR(Table1[OrderDate])</f>
        <v>2025</v>
      </c>
      <c r="K394" t="str">
        <f>TEXT(Table1[[#This Row],[OrderDate]],"mmm")</f>
        <v>Mar</v>
      </c>
      <c r="L394" t="str">
        <f>TEXT(Table1[OrderDate],"ddd")</f>
        <v>Sat</v>
      </c>
    </row>
    <row r="395" spans="1:12" x14ac:dyDescent="0.25">
      <c r="A395" t="s">
        <v>418</v>
      </c>
      <c r="B395" s="1">
        <v>45854</v>
      </c>
      <c r="C395" t="s">
        <v>28</v>
      </c>
      <c r="D395" t="s">
        <v>21</v>
      </c>
      <c r="E395" t="s">
        <v>24</v>
      </c>
      <c r="F395">
        <v>6</v>
      </c>
      <c r="G395">
        <v>476</v>
      </c>
      <c r="H395">
        <v>2856</v>
      </c>
      <c r="I395">
        <v>326.76</v>
      </c>
      <c r="J395">
        <f>YEAR(Table1[OrderDate])</f>
        <v>2025</v>
      </c>
      <c r="K395" t="str">
        <f>TEXT(Table1[[#This Row],[OrderDate]],"mmm")</f>
        <v>Jul</v>
      </c>
      <c r="L395" t="str">
        <f>TEXT(Table1[OrderDate],"ddd")</f>
        <v>Wed</v>
      </c>
    </row>
    <row r="396" spans="1:12" x14ac:dyDescent="0.25">
      <c r="A396" t="s">
        <v>419</v>
      </c>
      <c r="B396" s="1">
        <v>45662</v>
      </c>
      <c r="C396" t="s">
        <v>28</v>
      </c>
      <c r="D396" t="s">
        <v>15</v>
      </c>
      <c r="E396" t="s">
        <v>16</v>
      </c>
      <c r="F396">
        <v>9</v>
      </c>
      <c r="G396">
        <v>1770</v>
      </c>
      <c r="H396">
        <v>15930</v>
      </c>
      <c r="I396">
        <v>2613.54</v>
      </c>
      <c r="J396">
        <f>YEAR(Table1[OrderDate])</f>
        <v>2025</v>
      </c>
      <c r="K396" t="str">
        <f>TEXT(Table1[[#This Row],[OrderDate]],"mmm")</f>
        <v>Jan</v>
      </c>
      <c r="L396" t="str">
        <f>TEXT(Table1[OrderDate],"ddd")</f>
        <v>Sun</v>
      </c>
    </row>
    <row r="397" spans="1:12" x14ac:dyDescent="0.25">
      <c r="A397" t="s">
        <v>420</v>
      </c>
      <c r="B397" s="1">
        <v>45873</v>
      </c>
      <c r="C397" t="s">
        <v>18</v>
      </c>
      <c r="D397" t="s">
        <v>21</v>
      </c>
      <c r="E397" t="s">
        <v>88</v>
      </c>
      <c r="F397">
        <v>8</v>
      </c>
      <c r="G397">
        <v>1018</v>
      </c>
      <c r="H397">
        <v>8144</v>
      </c>
      <c r="I397">
        <v>2075.89</v>
      </c>
      <c r="J397">
        <f>YEAR(Table1[OrderDate])</f>
        <v>2025</v>
      </c>
      <c r="K397" t="str">
        <f>TEXT(Table1[[#This Row],[OrderDate]],"mmm")</f>
        <v>Aug</v>
      </c>
      <c r="L397" t="str">
        <f>TEXT(Table1[OrderDate],"ddd")</f>
        <v>Mon</v>
      </c>
    </row>
    <row r="398" spans="1:12" x14ac:dyDescent="0.25">
      <c r="A398" t="s">
        <v>421</v>
      </c>
      <c r="B398" s="1">
        <v>45772</v>
      </c>
      <c r="C398" t="s">
        <v>9</v>
      </c>
      <c r="D398" t="s">
        <v>10</v>
      </c>
      <c r="E398" t="s">
        <v>30</v>
      </c>
      <c r="F398">
        <v>3</v>
      </c>
      <c r="G398">
        <v>714</v>
      </c>
      <c r="H398">
        <v>2142</v>
      </c>
      <c r="I398">
        <v>188.98</v>
      </c>
      <c r="J398">
        <f>YEAR(Table1[OrderDate])</f>
        <v>2025</v>
      </c>
      <c r="K398" t="str">
        <f>TEXT(Table1[[#This Row],[OrderDate]],"mmm")</f>
        <v>Apr</v>
      </c>
      <c r="L398" t="str">
        <f>TEXT(Table1[OrderDate],"ddd")</f>
        <v>Fri</v>
      </c>
    </row>
    <row r="399" spans="1:12" x14ac:dyDescent="0.25">
      <c r="A399" t="s">
        <v>422</v>
      </c>
      <c r="B399" s="1">
        <v>45685</v>
      </c>
      <c r="C399" t="s">
        <v>13</v>
      </c>
      <c r="D399" t="s">
        <v>10</v>
      </c>
      <c r="E399" t="s">
        <v>11</v>
      </c>
      <c r="F399">
        <v>10</v>
      </c>
      <c r="G399">
        <v>426</v>
      </c>
      <c r="H399">
        <v>4260</v>
      </c>
      <c r="I399">
        <v>651.44000000000005</v>
      </c>
      <c r="J399">
        <f>YEAR(Table1[OrderDate])</f>
        <v>2025</v>
      </c>
      <c r="K399" t="str">
        <f>TEXT(Table1[[#This Row],[OrderDate]],"mmm")</f>
        <v>Jan</v>
      </c>
      <c r="L399" t="str">
        <f>TEXT(Table1[OrderDate],"ddd")</f>
        <v>Tue</v>
      </c>
    </row>
    <row r="400" spans="1:12" x14ac:dyDescent="0.25">
      <c r="A400" t="s">
        <v>423</v>
      </c>
      <c r="B400" s="1">
        <v>45867</v>
      </c>
      <c r="C400" t="s">
        <v>13</v>
      </c>
      <c r="D400" t="s">
        <v>10</v>
      </c>
      <c r="E400" t="s">
        <v>30</v>
      </c>
      <c r="F400">
        <v>9</v>
      </c>
      <c r="G400">
        <v>4366</v>
      </c>
      <c r="H400">
        <v>39294</v>
      </c>
      <c r="I400">
        <v>10188.59</v>
      </c>
      <c r="J400">
        <f>YEAR(Table1[OrderDate])</f>
        <v>2025</v>
      </c>
      <c r="K400" t="str">
        <f>TEXT(Table1[[#This Row],[OrderDate]],"mmm")</f>
        <v>Jul</v>
      </c>
      <c r="L400" t="str">
        <f>TEXT(Table1[OrderDate],"ddd")</f>
        <v>Tue</v>
      </c>
    </row>
    <row r="401" spans="1:12" x14ac:dyDescent="0.25">
      <c r="A401" t="s">
        <v>424</v>
      </c>
      <c r="B401" s="1">
        <v>45848</v>
      </c>
      <c r="C401" t="s">
        <v>18</v>
      </c>
      <c r="D401" t="s">
        <v>21</v>
      </c>
      <c r="E401" t="s">
        <v>88</v>
      </c>
      <c r="F401">
        <v>10</v>
      </c>
      <c r="G401">
        <v>1578</v>
      </c>
      <c r="H401">
        <v>15780</v>
      </c>
      <c r="I401">
        <v>3634.12</v>
      </c>
      <c r="J401">
        <f>YEAR(Table1[OrderDate])</f>
        <v>2025</v>
      </c>
      <c r="K401" t="str">
        <f>TEXT(Table1[[#This Row],[OrderDate]],"mmm")</f>
        <v>Jul</v>
      </c>
      <c r="L401" t="str">
        <f>TEXT(Table1[OrderDate],"ddd")</f>
        <v>Thu</v>
      </c>
    </row>
    <row r="402" spans="1:12" x14ac:dyDescent="0.25">
      <c r="A402" t="s">
        <v>425</v>
      </c>
      <c r="B402" s="1">
        <v>45991</v>
      </c>
      <c r="C402" t="s">
        <v>13</v>
      </c>
      <c r="D402" t="s">
        <v>21</v>
      </c>
      <c r="E402" t="s">
        <v>45</v>
      </c>
      <c r="F402">
        <v>8</v>
      </c>
      <c r="G402">
        <v>4334</v>
      </c>
      <c r="H402">
        <v>34672</v>
      </c>
      <c r="I402">
        <v>4553.68</v>
      </c>
      <c r="J402">
        <f>YEAR(Table1[OrderDate])</f>
        <v>2025</v>
      </c>
      <c r="K402" t="str">
        <f>TEXT(Table1[[#This Row],[OrderDate]],"mmm")</f>
        <v>Nov</v>
      </c>
      <c r="L402" t="str">
        <f>TEXT(Table1[OrderDate],"ddd")</f>
        <v>Sun</v>
      </c>
    </row>
    <row r="403" spans="1:12" x14ac:dyDescent="0.25">
      <c r="A403" t="s">
        <v>426</v>
      </c>
      <c r="B403" s="1">
        <v>45898</v>
      </c>
      <c r="C403" t="s">
        <v>9</v>
      </c>
      <c r="D403" t="s">
        <v>15</v>
      </c>
      <c r="E403" t="s">
        <v>19</v>
      </c>
      <c r="F403">
        <v>3</v>
      </c>
      <c r="G403">
        <v>1046</v>
      </c>
      <c r="H403">
        <v>3138</v>
      </c>
      <c r="I403">
        <v>813.76</v>
      </c>
      <c r="J403">
        <f>YEAR(Table1[OrderDate])</f>
        <v>2025</v>
      </c>
      <c r="K403" t="str">
        <f>TEXT(Table1[[#This Row],[OrderDate]],"mmm")</f>
        <v>Aug</v>
      </c>
      <c r="L403" t="str">
        <f>TEXT(Table1[OrderDate],"ddd")</f>
        <v>Fri</v>
      </c>
    </row>
    <row r="404" spans="1:12" x14ac:dyDescent="0.25">
      <c r="A404" t="s">
        <v>427</v>
      </c>
      <c r="B404" s="1">
        <v>45839</v>
      </c>
      <c r="C404" t="s">
        <v>28</v>
      </c>
      <c r="D404" t="s">
        <v>10</v>
      </c>
      <c r="E404" t="s">
        <v>33</v>
      </c>
      <c r="F404">
        <v>2</v>
      </c>
      <c r="G404">
        <v>4182</v>
      </c>
      <c r="H404">
        <v>8364</v>
      </c>
      <c r="I404">
        <v>1510.93</v>
      </c>
      <c r="J404">
        <f>YEAR(Table1[OrderDate])</f>
        <v>2025</v>
      </c>
      <c r="K404" t="str">
        <f>TEXT(Table1[[#This Row],[OrderDate]],"mmm")</f>
        <v>Jul</v>
      </c>
      <c r="L404" t="str">
        <f>TEXT(Table1[OrderDate],"ddd")</f>
        <v>Tue</v>
      </c>
    </row>
    <row r="405" spans="1:12" x14ac:dyDescent="0.25">
      <c r="A405" t="s">
        <v>428</v>
      </c>
      <c r="B405" s="1">
        <v>46009</v>
      </c>
      <c r="C405" t="s">
        <v>18</v>
      </c>
      <c r="D405" t="s">
        <v>21</v>
      </c>
      <c r="E405" t="s">
        <v>45</v>
      </c>
      <c r="F405">
        <v>3</v>
      </c>
      <c r="G405">
        <v>4104</v>
      </c>
      <c r="H405">
        <v>12312</v>
      </c>
      <c r="I405">
        <v>3090.49</v>
      </c>
      <c r="J405">
        <f>YEAR(Table1[OrderDate])</f>
        <v>2025</v>
      </c>
      <c r="K405" t="str">
        <f>TEXT(Table1[[#This Row],[OrderDate]],"mmm")</f>
        <v>Dec</v>
      </c>
      <c r="L405" t="str">
        <f>TEXT(Table1[OrderDate],"ddd")</f>
        <v>Thu</v>
      </c>
    </row>
    <row r="406" spans="1:12" x14ac:dyDescent="0.25">
      <c r="A406" t="s">
        <v>429</v>
      </c>
      <c r="B406" s="1">
        <v>45782</v>
      </c>
      <c r="C406" t="s">
        <v>18</v>
      </c>
      <c r="D406" t="s">
        <v>10</v>
      </c>
      <c r="E406" t="s">
        <v>11</v>
      </c>
      <c r="F406">
        <v>10</v>
      </c>
      <c r="G406">
        <v>4057</v>
      </c>
      <c r="H406">
        <v>40570</v>
      </c>
      <c r="I406">
        <v>5874.73</v>
      </c>
      <c r="J406">
        <f>YEAR(Table1[OrderDate])</f>
        <v>2025</v>
      </c>
      <c r="K406" t="str">
        <f>TEXT(Table1[[#This Row],[OrderDate]],"mmm")</f>
        <v>May</v>
      </c>
      <c r="L406" t="str">
        <f>TEXT(Table1[OrderDate],"ddd")</f>
        <v>Mon</v>
      </c>
    </row>
    <row r="407" spans="1:12" x14ac:dyDescent="0.25">
      <c r="A407" t="s">
        <v>430</v>
      </c>
      <c r="B407" s="1">
        <v>46017</v>
      </c>
      <c r="C407" t="s">
        <v>13</v>
      </c>
      <c r="D407" t="s">
        <v>21</v>
      </c>
      <c r="E407" t="s">
        <v>24</v>
      </c>
      <c r="F407">
        <v>9</v>
      </c>
      <c r="G407">
        <v>4561</v>
      </c>
      <c r="H407">
        <v>41049</v>
      </c>
      <c r="I407">
        <v>10181.94</v>
      </c>
      <c r="J407">
        <f>YEAR(Table1[OrderDate])</f>
        <v>2025</v>
      </c>
      <c r="K407" t="str">
        <f>TEXT(Table1[[#This Row],[OrderDate]],"mmm")</f>
        <v>Dec</v>
      </c>
      <c r="L407" t="str">
        <f>TEXT(Table1[OrderDate],"ddd")</f>
        <v>Fri</v>
      </c>
    </row>
    <row r="408" spans="1:12" x14ac:dyDescent="0.25">
      <c r="A408" t="s">
        <v>431</v>
      </c>
      <c r="B408" s="1">
        <v>45821</v>
      </c>
      <c r="C408" t="s">
        <v>28</v>
      </c>
      <c r="D408" t="s">
        <v>15</v>
      </c>
      <c r="E408" t="s">
        <v>19</v>
      </c>
      <c r="F408">
        <v>6</v>
      </c>
      <c r="G408">
        <v>3573</v>
      </c>
      <c r="H408">
        <v>21438</v>
      </c>
      <c r="I408">
        <v>5577.97</v>
      </c>
      <c r="J408">
        <f>YEAR(Table1[OrderDate])</f>
        <v>2025</v>
      </c>
      <c r="K408" t="str">
        <f>TEXT(Table1[[#This Row],[OrderDate]],"mmm")</f>
        <v>Jun</v>
      </c>
      <c r="L408" t="str">
        <f>TEXT(Table1[OrderDate],"ddd")</f>
        <v>Fri</v>
      </c>
    </row>
    <row r="409" spans="1:12" x14ac:dyDescent="0.25">
      <c r="A409" t="s">
        <v>432</v>
      </c>
      <c r="B409" s="1">
        <v>45785</v>
      </c>
      <c r="C409" t="s">
        <v>13</v>
      </c>
      <c r="D409" t="s">
        <v>15</v>
      </c>
      <c r="E409" t="s">
        <v>16</v>
      </c>
      <c r="F409">
        <v>4</v>
      </c>
      <c r="G409">
        <v>2217</v>
      </c>
      <c r="H409">
        <v>8868</v>
      </c>
      <c r="I409">
        <v>2589.1999999999998</v>
      </c>
      <c r="J409">
        <f>YEAR(Table1[OrderDate])</f>
        <v>2025</v>
      </c>
      <c r="K409" t="str">
        <f>TEXT(Table1[[#This Row],[OrderDate]],"mmm")</f>
        <v>May</v>
      </c>
      <c r="L409" t="str">
        <f>TEXT(Table1[OrderDate],"ddd")</f>
        <v>Thu</v>
      </c>
    </row>
    <row r="410" spans="1:12" x14ac:dyDescent="0.25">
      <c r="A410" t="s">
        <v>433</v>
      </c>
      <c r="B410" s="1">
        <v>45761</v>
      </c>
      <c r="C410" t="s">
        <v>13</v>
      </c>
      <c r="D410" t="s">
        <v>15</v>
      </c>
      <c r="E410" t="s">
        <v>19</v>
      </c>
      <c r="F410">
        <v>8</v>
      </c>
      <c r="G410">
        <v>2016</v>
      </c>
      <c r="H410">
        <v>16128</v>
      </c>
      <c r="I410">
        <v>3084.87</v>
      </c>
      <c r="J410">
        <f>YEAR(Table1[OrderDate])</f>
        <v>2025</v>
      </c>
      <c r="K410" t="str">
        <f>TEXT(Table1[[#This Row],[OrderDate]],"mmm")</f>
        <v>Apr</v>
      </c>
      <c r="L410" t="str">
        <f>TEXT(Table1[OrderDate],"ddd")</f>
        <v>Mon</v>
      </c>
    </row>
    <row r="411" spans="1:12" x14ac:dyDescent="0.25">
      <c r="A411" t="s">
        <v>434</v>
      </c>
      <c r="B411" s="1">
        <v>45958</v>
      </c>
      <c r="C411" t="s">
        <v>9</v>
      </c>
      <c r="D411" t="s">
        <v>15</v>
      </c>
      <c r="E411" t="s">
        <v>19</v>
      </c>
      <c r="F411">
        <v>2</v>
      </c>
      <c r="G411">
        <v>4189</v>
      </c>
      <c r="H411">
        <v>8378</v>
      </c>
      <c r="I411">
        <v>1398.63</v>
      </c>
      <c r="J411">
        <f>YEAR(Table1[OrderDate])</f>
        <v>2025</v>
      </c>
      <c r="K411" t="str">
        <f>TEXT(Table1[[#This Row],[OrderDate]],"mmm")</f>
        <v>Oct</v>
      </c>
      <c r="L411" t="str">
        <f>TEXT(Table1[OrderDate],"ddd")</f>
        <v>Tue</v>
      </c>
    </row>
    <row r="412" spans="1:12" x14ac:dyDescent="0.25">
      <c r="A412" t="s">
        <v>435</v>
      </c>
      <c r="B412" s="1">
        <v>45789</v>
      </c>
      <c r="C412" t="s">
        <v>13</v>
      </c>
      <c r="D412" t="s">
        <v>10</v>
      </c>
      <c r="E412" t="s">
        <v>11</v>
      </c>
      <c r="F412">
        <v>9</v>
      </c>
      <c r="G412">
        <v>1784</v>
      </c>
      <c r="H412">
        <v>16056</v>
      </c>
      <c r="I412">
        <v>2035.91</v>
      </c>
      <c r="J412">
        <f>YEAR(Table1[OrderDate])</f>
        <v>2025</v>
      </c>
      <c r="K412" t="str">
        <f>TEXT(Table1[[#This Row],[OrderDate]],"mmm")</f>
        <v>May</v>
      </c>
      <c r="L412" t="str">
        <f>TEXT(Table1[OrderDate],"ddd")</f>
        <v>Mon</v>
      </c>
    </row>
    <row r="413" spans="1:12" x14ac:dyDescent="0.25">
      <c r="A413" t="s">
        <v>436</v>
      </c>
      <c r="B413" s="1">
        <v>45769</v>
      </c>
      <c r="C413" t="s">
        <v>9</v>
      </c>
      <c r="D413" t="s">
        <v>15</v>
      </c>
      <c r="E413" t="s">
        <v>19</v>
      </c>
      <c r="F413">
        <v>10</v>
      </c>
      <c r="G413">
        <v>2898</v>
      </c>
      <c r="H413">
        <v>28980</v>
      </c>
      <c r="I413">
        <v>3745.72</v>
      </c>
      <c r="J413">
        <f>YEAR(Table1[OrderDate])</f>
        <v>2025</v>
      </c>
      <c r="K413" t="str">
        <f>TEXT(Table1[[#This Row],[OrderDate]],"mmm")</f>
        <v>Apr</v>
      </c>
      <c r="L413" t="str">
        <f>TEXT(Table1[OrderDate],"ddd")</f>
        <v>Tue</v>
      </c>
    </row>
    <row r="414" spans="1:12" x14ac:dyDescent="0.25">
      <c r="A414" t="s">
        <v>437</v>
      </c>
      <c r="B414" s="1">
        <v>45821</v>
      </c>
      <c r="C414" t="s">
        <v>18</v>
      </c>
      <c r="D414" t="s">
        <v>15</v>
      </c>
      <c r="E414" t="s">
        <v>16</v>
      </c>
      <c r="F414">
        <v>10</v>
      </c>
      <c r="G414">
        <v>3484</v>
      </c>
      <c r="H414">
        <v>34840</v>
      </c>
      <c r="I414">
        <v>4593.22</v>
      </c>
      <c r="J414">
        <f>YEAR(Table1[OrderDate])</f>
        <v>2025</v>
      </c>
      <c r="K414" t="str">
        <f>TEXT(Table1[[#This Row],[OrderDate]],"mmm")</f>
        <v>Jun</v>
      </c>
      <c r="L414" t="str">
        <f>TEXT(Table1[OrderDate],"ddd")</f>
        <v>Fri</v>
      </c>
    </row>
    <row r="415" spans="1:12" x14ac:dyDescent="0.25">
      <c r="A415" t="s">
        <v>438</v>
      </c>
      <c r="B415" s="1">
        <v>45833</v>
      </c>
      <c r="C415" t="s">
        <v>18</v>
      </c>
      <c r="D415" t="s">
        <v>21</v>
      </c>
      <c r="E415" t="s">
        <v>22</v>
      </c>
      <c r="F415">
        <v>5</v>
      </c>
      <c r="G415">
        <v>741</v>
      </c>
      <c r="H415">
        <v>3705</v>
      </c>
      <c r="I415">
        <v>489.38</v>
      </c>
      <c r="J415">
        <f>YEAR(Table1[OrderDate])</f>
        <v>2025</v>
      </c>
      <c r="K415" t="str">
        <f>TEXT(Table1[[#This Row],[OrderDate]],"mmm")</f>
        <v>Jun</v>
      </c>
      <c r="L415" t="str">
        <f>TEXT(Table1[OrderDate],"ddd")</f>
        <v>Wed</v>
      </c>
    </row>
    <row r="416" spans="1:12" x14ac:dyDescent="0.25">
      <c r="A416" t="s">
        <v>439</v>
      </c>
      <c r="B416" s="1">
        <v>45908</v>
      </c>
      <c r="C416" t="s">
        <v>9</v>
      </c>
      <c r="D416" t="s">
        <v>21</v>
      </c>
      <c r="E416" t="s">
        <v>24</v>
      </c>
      <c r="F416">
        <v>2</v>
      </c>
      <c r="G416">
        <v>1603</v>
      </c>
      <c r="H416">
        <v>3206</v>
      </c>
      <c r="I416">
        <v>498.48</v>
      </c>
      <c r="J416">
        <f>YEAR(Table1[OrderDate])</f>
        <v>2025</v>
      </c>
      <c r="K416" t="str">
        <f>TEXT(Table1[[#This Row],[OrderDate]],"mmm")</f>
        <v>Sep</v>
      </c>
      <c r="L416" t="str">
        <f>TEXT(Table1[OrderDate],"ddd")</f>
        <v>Mon</v>
      </c>
    </row>
    <row r="417" spans="1:12" x14ac:dyDescent="0.25">
      <c r="A417" t="s">
        <v>440</v>
      </c>
      <c r="B417" s="1">
        <v>45662</v>
      </c>
      <c r="C417" t="s">
        <v>9</v>
      </c>
      <c r="D417" t="s">
        <v>15</v>
      </c>
      <c r="E417" t="s">
        <v>16</v>
      </c>
      <c r="F417">
        <v>10</v>
      </c>
      <c r="G417">
        <v>318</v>
      </c>
      <c r="H417">
        <v>3180</v>
      </c>
      <c r="I417">
        <v>616.07000000000005</v>
      </c>
      <c r="J417">
        <f>YEAR(Table1[OrderDate])</f>
        <v>2025</v>
      </c>
      <c r="K417" t="str">
        <f>TEXT(Table1[[#This Row],[OrderDate]],"mmm")</f>
        <v>Jan</v>
      </c>
      <c r="L417" t="str">
        <f>TEXT(Table1[OrderDate],"ddd")</f>
        <v>Sun</v>
      </c>
    </row>
    <row r="418" spans="1:12" x14ac:dyDescent="0.25">
      <c r="A418" t="s">
        <v>441</v>
      </c>
      <c r="B418" s="1">
        <v>45951</v>
      </c>
      <c r="C418" t="s">
        <v>18</v>
      </c>
      <c r="D418" t="s">
        <v>21</v>
      </c>
      <c r="E418" t="s">
        <v>22</v>
      </c>
      <c r="F418">
        <v>10</v>
      </c>
      <c r="G418">
        <v>2270</v>
      </c>
      <c r="H418">
        <v>22700</v>
      </c>
      <c r="I418">
        <v>4996.2299999999996</v>
      </c>
      <c r="J418">
        <f>YEAR(Table1[OrderDate])</f>
        <v>2025</v>
      </c>
      <c r="K418" t="str">
        <f>TEXT(Table1[[#This Row],[OrderDate]],"mmm")</f>
        <v>Oct</v>
      </c>
      <c r="L418" t="str">
        <f>TEXT(Table1[OrderDate],"ddd")</f>
        <v>Tue</v>
      </c>
    </row>
    <row r="419" spans="1:12" x14ac:dyDescent="0.25">
      <c r="A419" t="s">
        <v>442</v>
      </c>
      <c r="B419" s="1">
        <v>45892</v>
      </c>
      <c r="C419" t="s">
        <v>28</v>
      </c>
      <c r="D419" t="s">
        <v>10</v>
      </c>
      <c r="E419" t="s">
        <v>11</v>
      </c>
      <c r="F419">
        <v>1</v>
      </c>
      <c r="G419">
        <v>274</v>
      </c>
      <c r="H419">
        <v>274</v>
      </c>
      <c r="I419">
        <v>71.260000000000005</v>
      </c>
      <c r="J419">
        <f>YEAR(Table1[OrderDate])</f>
        <v>2025</v>
      </c>
      <c r="K419" t="str">
        <f>TEXT(Table1[[#This Row],[OrderDate]],"mmm")</f>
        <v>Aug</v>
      </c>
      <c r="L419" t="str">
        <f>TEXT(Table1[OrderDate],"ddd")</f>
        <v>Sat</v>
      </c>
    </row>
    <row r="420" spans="1:12" x14ac:dyDescent="0.25">
      <c r="A420" t="s">
        <v>443</v>
      </c>
      <c r="B420" s="1">
        <v>45895</v>
      </c>
      <c r="C420" t="s">
        <v>28</v>
      </c>
      <c r="D420" t="s">
        <v>21</v>
      </c>
      <c r="E420" t="s">
        <v>24</v>
      </c>
      <c r="F420">
        <v>1</v>
      </c>
      <c r="G420">
        <v>998</v>
      </c>
      <c r="H420">
        <v>998</v>
      </c>
      <c r="I420">
        <v>248.61</v>
      </c>
      <c r="J420">
        <f>YEAR(Table1[OrderDate])</f>
        <v>2025</v>
      </c>
      <c r="K420" t="str">
        <f>TEXT(Table1[[#This Row],[OrderDate]],"mmm")</f>
        <v>Aug</v>
      </c>
      <c r="L420" t="str">
        <f>TEXT(Table1[OrderDate],"ddd")</f>
        <v>Tue</v>
      </c>
    </row>
    <row r="421" spans="1:12" x14ac:dyDescent="0.25">
      <c r="A421" t="s">
        <v>444</v>
      </c>
      <c r="B421" s="1">
        <v>45961</v>
      </c>
      <c r="C421" t="s">
        <v>9</v>
      </c>
      <c r="D421" t="s">
        <v>10</v>
      </c>
      <c r="E421" t="s">
        <v>33</v>
      </c>
      <c r="F421">
        <v>6</v>
      </c>
      <c r="G421">
        <v>647</v>
      </c>
      <c r="H421">
        <v>3882</v>
      </c>
      <c r="I421">
        <v>721.99</v>
      </c>
      <c r="J421">
        <f>YEAR(Table1[OrderDate])</f>
        <v>2025</v>
      </c>
      <c r="K421" t="str">
        <f>TEXT(Table1[[#This Row],[OrderDate]],"mmm")</f>
        <v>Oct</v>
      </c>
      <c r="L421" t="str">
        <f>TEXT(Table1[OrderDate],"ddd")</f>
        <v>Fri</v>
      </c>
    </row>
    <row r="422" spans="1:12" x14ac:dyDescent="0.25">
      <c r="A422" t="s">
        <v>445</v>
      </c>
      <c r="B422" s="1">
        <v>45704</v>
      </c>
      <c r="C422" t="s">
        <v>18</v>
      </c>
      <c r="D422" t="s">
        <v>15</v>
      </c>
      <c r="E422" t="s">
        <v>19</v>
      </c>
      <c r="F422">
        <v>8</v>
      </c>
      <c r="G422">
        <v>568</v>
      </c>
      <c r="H422">
        <v>4544</v>
      </c>
      <c r="I422">
        <v>842.58</v>
      </c>
      <c r="J422">
        <f>YEAR(Table1[OrderDate])</f>
        <v>2025</v>
      </c>
      <c r="K422" t="str">
        <f>TEXT(Table1[[#This Row],[OrderDate]],"mmm")</f>
        <v>Feb</v>
      </c>
      <c r="L422" t="str">
        <f>TEXT(Table1[OrderDate],"ddd")</f>
        <v>Sun</v>
      </c>
    </row>
    <row r="423" spans="1:12" x14ac:dyDescent="0.25">
      <c r="A423" t="s">
        <v>446</v>
      </c>
      <c r="B423" s="1">
        <v>45755</v>
      </c>
      <c r="C423" t="s">
        <v>28</v>
      </c>
      <c r="D423" t="s">
        <v>10</v>
      </c>
      <c r="E423" t="s">
        <v>30</v>
      </c>
      <c r="F423">
        <v>4</v>
      </c>
      <c r="G423">
        <v>3575</v>
      </c>
      <c r="H423">
        <v>14300</v>
      </c>
      <c r="I423">
        <v>3571.56</v>
      </c>
      <c r="J423">
        <f>YEAR(Table1[OrderDate])</f>
        <v>2025</v>
      </c>
      <c r="K423" t="str">
        <f>TEXT(Table1[[#This Row],[OrderDate]],"mmm")</f>
        <v>Apr</v>
      </c>
      <c r="L423" t="str">
        <f>TEXT(Table1[OrderDate],"ddd")</f>
        <v>Tue</v>
      </c>
    </row>
    <row r="424" spans="1:12" x14ac:dyDescent="0.25">
      <c r="A424" t="s">
        <v>447</v>
      </c>
      <c r="B424" s="1">
        <v>45840</v>
      </c>
      <c r="C424" t="s">
        <v>18</v>
      </c>
      <c r="D424" t="s">
        <v>15</v>
      </c>
      <c r="E424" t="s">
        <v>80</v>
      </c>
      <c r="F424">
        <v>5</v>
      </c>
      <c r="G424">
        <v>2567</v>
      </c>
      <c r="H424">
        <v>12835</v>
      </c>
      <c r="I424">
        <v>1588.29</v>
      </c>
      <c r="J424">
        <f>YEAR(Table1[OrderDate])</f>
        <v>2025</v>
      </c>
      <c r="K424" t="str">
        <f>TEXT(Table1[[#This Row],[OrderDate]],"mmm")</f>
        <v>Jul</v>
      </c>
      <c r="L424" t="str">
        <f>TEXT(Table1[OrderDate],"ddd")</f>
        <v>Wed</v>
      </c>
    </row>
    <row r="425" spans="1:12" x14ac:dyDescent="0.25">
      <c r="A425" t="s">
        <v>448</v>
      </c>
      <c r="B425" s="1">
        <v>45913</v>
      </c>
      <c r="C425" t="s">
        <v>13</v>
      </c>
      <c r="D425" t="s">
        <v>15</v>
      </c>
      <c r="E425" t="s">
        <v>16</v>
      </c>
      <c r="F425">
        <v>4</v>
      </c>
      <c r="G425">
        <v>2171</v>
      </c>
      <c r="H425">
        <v>8684</v>
      </c>
      <c r="I425">
        <v>1870.13</v>
      </c>
      <c r="J425">
        <f>YEAR(Table1[OrderDate])</f>
        <v>2025</v>
      </c>
      <c r="K425" t="str">
        <f>TEXT(Table1[[#This Row],[OrderDate]],"mmm")</f>
        <v>Sep</v>
      </c>
      <c r="L425" t="str">
        <f>TEXT(Table1[OrderDate],"ddd")</f>
        <v>Sat</v>
      </c>
    </row>
    <row r="426" spans="1:12" x14ac:dyDescent="0.25">
      <c r="A426" t="s">
        <v>449</v>
      </c>
      <c r="B426" s="1">
        <v>45849</v>
      </c>
      <c r="C426" t="s">
        <v>13</v>
      </c>
      <c r="D426" t="s">
        <v>21</v>
      </c>
      <c r="E426" t="s">
        <v>45</v>
      </c>
      <c r="F426">
        <v>1</v>
      </c>
      <c r="G426">
        <v>768</v>
      </c>
      <c r="H426">
        <v>768</v>
      </c>
      <c r="I426">
        <v>225.24</v>
      </c>
      <c r="J426">
        <f>YEAR(Table1[OrderDate])</f>
        <v>2025</v>
      </c>
      <c r="K426" t="str">
        <f>TEXT(Table1[[#This Row],[OrderDate]],"mmm")</f>
        <v>Jul</v>
      </c>
      <c r="L426" t="str">
        <f>TEXT(Table1[OrderDate],"ddd")</f>
        <v>Fri</v>
      </c>
    </row>
    <row r="427" spans="1:12" x14ac:dyDescent="0.25">
      <c r="A427" t="s">
        <v>450</v>
      </c>
      <c r="B427" s="1">
        <v>45692</v>
      </c>
      <c r="C427" t="s">
        <v>13</v>
      </c>
      <c r="D427" t="s">
        <v>21</v>
      </c>
      <c r="E427" t="s">
        <v>22</v>
      </c>
      <c r="F427">
        <v>10</v>
      </c>
      <c r="G427">
        <v>4419</v>
      </c>
      <c r="H427">
        <v>44190</v>
      </c>
      <c r="I427">
        <v>7281.2</v>
      </c>
      <c r="J427">
        <f>YEAR(Table1[OrderDate])</f>
        <v>2025</v>
      </c>
      <c r="K427" t="str">
        <f>TEXT(Table1[[#This Row],[OrderDate]],"mmm")</f>
        <v>Feb</v>
      </c>
      <c r="L427" t="str">
        <f>TEXT(Table1[OrderDate],"ddd")</f>
        <v>Tue</v>
      </c>
    </row>
    <row r="428" spans="1:12" x14ac:dyDescent="0.25">
      <c r="A428" t="s">
        <v>451</v>
      </c>
      <c r="B428" s="1">
        <v>45691</v>
      </c>
      <c r="C428" t="s">
        <v>9</v>
      </c>
      <c r="D428" t="s">
        <v>21</v>
      </c>
      <c r="E428" t="s">
        <v>45</v>
      </c>
      <c r="F428">
        <v>6</v>
      </c>
      <c r="G428">
        <v>309</v>
      </c>
      <c r="H428">
        <v>1854</v>
      </c>
      <c r="I428">
        <v>164.02</v>
      </c>
      <c r="J428">
        <f>YEAR(Table1[OrderDate])</f>
        <v>2025</v>
      </c>
      <c r="K428" t="str">
        <f>TEXT(Table1[[#This Row],[OrderDate]],"mmm")</f>
        <v>Feb</v>
      </c>
      <c r="L428" t="str">
        <f>TEXT(Table1[OrderDate],"ddd")</f>
        <v>Mon</v>
      </c>
    </row>
    <row r="429" spans="1:12" x14ac:dyDescent="0.25">
      <c r="A429" t="s">
        <v>452</v>
      </c>
      <c r="B429" s="1">
        <v>46006</v>
      </c>
      <c r="C429" t="s">
        <v>28</v>
      </c>
      <c r="D429" t="s">
        <v>15</v>
      </c>
      <c r="E429" t="s">
        <v>16</v>
      </c>
      <c r="F429">
        <v>2</v>
      </c>
      <c r="G429">
        <v>887</v>
      </c>
      <c r="H429">
        <v>1774</v>
      </c>
      <c r="I429">
        <v>528.23</v>
      </c>
      <c r="J429">
        <f>YEAR(Table1[OrderDate])</f>
        <v>2025</v>
      </c>
      <c r="K429" t="str">
        <f>TEXT(Table1[[#This Row],[OrderDate]],"mmm")</f>
        <v>Dec</v>
      </c>
      <c r="L429" t="str">
        <f>TEXT(Table1[OrderDate],"ddd")</f>
        <v>Mon</v>
      </c>
    </row>
    <row r="430" spans="1:12" x14ac:dyDescent="0.25">
      <c r="A430" t="s">
        <v>453</v>
      </c>
      <c r="B430" s="1">
        <v>46022</v>
      </c>
      <c r="C430" t="s">
        <v>28</v>
      </c>
      <c r="D430" t="s">
        <v>21</v>
      </c>
      <c r="E430" t="s">
        <v>88</v>
      </c>
      <c r="F430">
        <v>10</v>
      </c>
      <c r="G430">
        <v>4728</v>
      </c>
      <c r="H430">
        <v>47280</v>
      </c>
      <c r="I430">
        <v>12332.18</v>
      </c>
      <c r="J430">
        <f>YEAR(Table1[OrderDate])</f>
        <v>2025</v>
      </c>
      <c r="K430" t="str">
        <f>TEXT(Table1[[#This Row],[OrderDate]],"mmm")</f>
        <v>Dec</v>
      </c>
      <c r="L430" t="str">
        <f>TEXT(Table1[OrderDate],"ddd")</f>
        <v>Wed</v>
      </c>
    </row>
    <row r="431" spans="1:12" x14ac:dyDescent="0.25">
      <c r="A431" t="s">
        <v>454</v>
      </c>
      <c r="B431" s="1">
        <v>45794</v>
      </c>
      <c r="C431" t="s">
        <v>18</v>
      </c>
      <c r="D431" t="s">
        <v>21</v>
      </c>
      <c r="E431" t="s">
        <v>88</v>
      </c>
      <c r="F431">
        <v>5</v>
      </c>
      <c r="G431">
        <v>4793</v>
      </c>
      <c r="H431">
        <v>23965</v>
      </c>
      <c r="I431">
        <v>5135.6400000000003</v>
      </c>
      <c r="J431">
        <f>YEAR(Table1[OrderDate])</f>
        <v>2025</v>
      </c>
      <c r="K431" t="str">
        <f>TEXT(Table1[[#This Row],[OrderDate]],"mmm")</f>
        <v>May</v>
      </c>
      <c r="L431" t="str">
        <f>TEXT(Table1[OrderDate],"ddd")</f>
        <v>Sat</v>
      </c>
    </row>
    <row r="432" spans="1:12" x14ac:dyDescent="0.25">
      <c r="A432" t="s">
        <v>455</v>
      </c>
      <c r="B432" s="1">
        <v>45668</v>
      </c>
      <c r="C432" t="s">
        <v>9</v>
      </c>
      <c r="D432" t="s">
        <v>10</v>
      </c>
      <c r="E432" t="s">
        <v>33</v>
      </c>
      <c r="F432">
        <v>7</v>
      </c>
      <c r="G432">
        <v>1340</v>
      </c>
      <c r="H432">
        <v>9380</v>
      </c>
      <c r="I432">
        <v>1168.77</v>
      </c>
      <c r="J432">
        <f>YEAR(Table1[OrderDate])</f>
        <v>2025</v>
      </c>
      <c r="K432" t="str">
        <f>TEXT(Table1[[#This Row],[OrderDate]],"mmm")</f>
        <v>Jan</v>
      </c>
      <c r="L432" t="str">
        <f>TEXT(Table1[OrderDate],"ddd")</f>
        <v>Sat</v>
      </c>
    </row>
    <row r="433" spans="1:12" x14ac:dyDescent="0.25">
      <c r="A433" t="s">
        <v>456</v>
      </c>
      <c r="B433" s="1">
        <v>46002</v>
      </c>
      <c r="C433" t="s">
        <v>28</v>
      </c>
      <c r="D433" t="s">
        <v>21</v>
      </c>
      <c r="E433" t="s">
        <v>24</v>
      </c>
      <c r="F433">
        <v>3</v>
      </c>
      <c r="G433">
        <v>117</v>
      </c>
      <c r="H433">
        <v>351</v>
      </c>
      <c r="I433">
        <v>78.33</v>
      </c>
      <c r="J433">
        <f>YEAR(Table1[OrderDate])</f>
        <v>2025</v>
      </c>
      <c r="K433" t="str">
        <f>TEXT(Table1[[#This Row],[OrderDate]],"mmm")</f>
        <v>Dec</v>
      </c>
      <c r="L433" t="str">
        <f>TEXT(Table1[OrderDate],"ddd")</f>
        <v>Thu</v>
      </c>
    </row>
    <row r="434" spans="1:12" x14ac:dyDescent="0.25">
      <c r="A434" t="s">
        <v>457</v>
      </c>
      <c r="B434" s="1">
        <v>46016</v>
      </c>
      <c r="C434" t="s">
        <v>9</v>
      </c>
      <c r="D434" t="s">
        <v>21</v>
      </c>
      <c r="E434" t="s">
        <v>45</v>
      </c>
      <c r="F434">
        <v>5</v>
      </c>
      <c r="G434">
        <v>975</v>
      </c>
      <c r="H434">
        <v>4875</v>
      </c>
      <c r="I434">
        <v>832.25</v>
      </c>
      <c r="J434">
        <f>YEAR(Table1[OrderDate])</f>
        <v>2025</v>
      </c>
      <c r="K434" t="str">
        <f>TEXT(Table1[[#This Row],[OrderDate]],"mmm")</f>
        <v>Dec</v>
      </c>
      <c r="L434" t="str">
        <f>TEXT(Table1[OrderDate],"ddd")</f>
        <v>Thu</v>
      </c>
    </row>
    <row r="435" spans="1:12" x14ac:dyDescent="0.25">
      <c r="A435" t="s">
        <v>458</v>
      </c>
      <c r="B435" s="1">
        <v>46002</v>
      </c>
      <c r="C435" t="s">
        <v>13</v>
      </c>
      <c r="D435" t="s">
        <v>10</v>
      </c>
      <c r="E435" t="s">
        <v>11</v>
      </c>
      <c r="F435">
        <v>4</v>
      </c>
      <c r="G435">
        <v>4258</v>
      </c>
      <c r="H435">
        <v>17032</v>
      </c>
      <c r="I435">
        <v>4920.0600000000004</v>
      </c>
      <c r="J435">
        <f>YEAR(Table1[OrderDate])</f>
        <v>2025</v>
      </c>
      <c r="K435" t="str">
        <f>TEXT(Table1[[#This Row],[OrderDate]],"mmm")</f>
        <v>Dec</v>
      </c>
      <c r="L435" t="str">
        <f>TEXT(Table1[OrderDate],"ddd")</f>
        <v>Thu</v>
      </c>
    </row>
    <row r="436" spans="1:12" x14ac:dyDescent="0.25">
      <c r="A436" t="s">
        <v>459</v>
      </c>
      <c r="B436" s="1">
        <v>45986</v>
      </c>
      <c r="C436" t="s">
        <v>18</v>
      </c>
      <c r="D436" t="s">
        <v>21</v>
      </c>
      <c r="E436" t="s">
        <v>22</v>
      </c>
      <c r="F436">
        <v>10</v>
      </c>
      <c r="G436">
        <v>2532</v>
      </c>
      <c r="H436">
        <v>25320</v>
      </c>
      <c r="I436">
        <v>2535.1</v>
      </c>
      <c r="J436">
        <f>YEAR(Table1[OrderDate])</f>
        <v>2025</v>
      </c>
      <c r="K436" t="str">
        <f>TEXT(Table1[[#This Row],[OrderDate]],"mmm")</f>
        <v>Nov</v>
      </c>
      <c r="L436" t="str">
        <f>TEXT(Table1[OrderDate],"ddd")</f>
        <v>Tue</v>
      </c>
    </row>
    <row r="437" spans="1:12" x14ac:dyDescent="0.25">
      <c r="A437" t="s">
        <v>460</v>
      </c>
      <c r="B437" s="1">
        <v>45678</v>
      </c>
      <c r="C437" t="s">
        <v>18</v>
      </c>
      <c r="D437" t="s">
        <v>15</v>
      </c>
      <c r="E437" t="s">
        <v>16</v>
      </c>
      <c r="F437">
        <v>6</v>
      </c>
      <c r="G437">
        <v>1114</v>
      </c>
      <c r="H437">
        <v>6684</v>
      </c>
      <c r="I437">
        <v>1681.69</v>
      </c>
      <c r="J437">
        <f>YEAR(Table1[OrderDate])</f>
        <v>2025</v>
      </c>
      <c r="K437" t="str">
        <f>TEXT(Table1[[#This Row],[OrderDate]],"mmm")</f>
        <v>Jan</v>
      </c>
      <c r="L437" t="str">
        <f>TEXT(Table1[OrderDate],"ddd")</f>
        <v>Tue</v>
      </c>
    </row>
    <row r="438" spans="1:12" x14ac:dyDescent="0.25">
      <c r="A438" t="s">
        <v>461</v>
      </c>
      <c r="B438" s="1">
        <v>45919</v>
      </c>
      <c r="C438" t="s">
        <v>28</v>
      </c>
      <c r="D438" t="s">
        <v>21</v>
      </c>
      <c r="E438" t="s">
        <v>22</v>
      </c>
      <c r="F438">
        <v>7</v>
      </c>
      <c r="G438">
        <v>4359</v>
      </c>
      <c r="H438">
        <v>30513</v>
      </c>
      <c r="I438">
        <v>6926.11</v>
      </c>
      <c r="J438">
        <f>YEAR(Table1[OrderDate])</f>
        <v>2025</v>
      </c>
      <c r="K438" t="str">
        <f>TEXT(Table1[[#This Row],[OrderDate]],"mmm")</f>
        <v>Sep</v>
      </c>
      <c r="L438" t="str">
        <f>TEXT(Table1[OrderDate],"ddd")</f>
        <v>Fri</v>
      </c>
    </row>
    <row r="439" spans="1:12" x14ac:dyDescent="0.25">
      <c r="A439" t="s">
        <v>462</v>
      </c>
      <c r="B439" s="1">
        <v>45899</v>
      </c>
      <c r="C439" t="s">
        <v>9</v>
      </c>
      <c r="D439" t="s">
        <v>15</v>
      </c>
      <c r="E439" t="s">
        <v>16</v>
      </c>
      <c r="F439">
        <v>9</v>
      </c>
      <c r="G439">
        <v>4091</v>
      </c>
      <c r="H439">
        <v>36819</v>
      </c>
      <c r="I439">
        <v>10007.4</v>
      </c>
      <c r="J439">
        <f>YEAR(Table1[OrderDate])</f>
        <v>2025</v>
      </c>
      <c r="K439" t="str">
        <f>TEXT(Table1[[#This Row],[OrderDate]],"mmm")</f>
        <v>Aug</v>
      </c>
      <c r="L439" t="str">
        <f>TEXT(Table1[OrderDate],"ddd")</f>
        <v>Sat</v>
      </c>
    </row>
    <row r="440" spans="1:12" x14ac:dyDescent="0.25">
      <c r="A440" t="s">
        <v>463</v>
      </c>
      <c r="B440" s="1">
        <v>45848</v>
      </c>
      <c r="C440" t="s">
        <v>28</v>
      </c>
      <c r="D440" t="s">
        <v>10</v>
      </c>
      <c r="E440" t="s">
        <v>33</v>
      </c>
      <c r="F440">
        <v>10</v>
      </c>
      <c r="G440">
        <v>240</v>
      </c>
      <c r="H440">
        <v>2400</v>
      </c>
      <c r="I440">
        <v>292.67</v>
      </c>
      <c r="J440">
        <f>YEAR(Table1[OrderDate])</f>
        <v>2025</v>
      </c>
      <c r="K440" t="str">
        <f>TEXT(Table1[[#This Row],[OrderDate]],"mmm")</f>
        <v>Jul</v>
      </c>
      <c r="L440" t="str">
        <f>TEXT(Table1[OrderDate],"ddd")</f>
        <v>Thu</v>
      </c>
    </row>
    <row r="441" spans="1:12" x14ac:dyDescent="0.25">
      <c r="A441" t="s">
        <v>464</v>
      </c>
      <c r="B441" s="1">
        <v>45818</v>
      </c>
      <c r="C441" t="s">
        <v>13</v>
      </c>
      <c r="D441" t="s">
        <v>15</v>
      </c>
      <c r="E441" t="s">
        <v>16</v>
      </c>
      <c r="F441">
        <v>2</v>
      </c>
      <c r="G441">
        <v>4905</v>
      </c>
      <c r="H441">
        <v>9810</v>
      </c>
      <c r="I441">
        <v>1853.35</v>
      </c>
      <c r="J441">
        <f>YEAR(Table1[OrderDate])</f>
        <v>2025</v>
      </c>
      <c r="K441" t="str">
        <f>TEXT(Table1[[#This Row],[OrderDate]],"mmm")</f>
        <v>Jun</v>
      </c>
      <c r="L441" t="str">
        <f>TEXT(Table1[OrderDate],"ddd")</f>
        <v>Tue</v>
      </c>
    </row>
    <row r="442" spans="1:12" x14ac:dyDescent="0.25">
      <c r="A442" t="s">
        <v>465</v>
      </c>
      <c r="B442" s="1">
        <v>45974</v>
      </c>
      <c r="C442" t="s">
        <v>9</v>
      </c>
      <c r="D442" t="s">
        <v>21</v>
      </c>
      <c r="E442" t="s">
        <v>45</v>
      </c>
      <c r="F442">
        <v>3</v>
      </c>
      <c r="G442">
        <v>2385</v>
      </c>
      <c r="H442">
        <v>7155</v>
      </c>
      <c r="I442">
        <v>1715.62</v>
      </c>
      <c r="J442">
        <f>YEAR(Table1[OrderDate])</f>
        <v>2025</v>
      </c>
      <c r="K442" t="str">
        <f>TEXT(Table1[[#This Row],[OrderDate]],"mmm")</f>
        <v>Nov</v>
      </c>
      <c r="L442" t="str">
        <f>TEXT(Table1[OrderDate],"ddd")</f>
        <v>Thu</v>
      </c>
    </row>
    <row r="443" spans="1:12" x14ac:dyDescent="0.25">
      <c r="A443" t="s">
        <v>466</v>
      </c>
      <c r="B443" s="1">
        <v>45888</v>
      </c>
      <c r="C443" t="s">
        <v>9</v>
      </c>
      <c r="D443" t="s">
        <v>15</v>
      </c>
      <c r="E443" t="s">
        <v>80</v>
      </c>
      <c r="F443">
        <v>7</v>
      </c>
      <c r="G443">
        <v>4512</v>
      </c>
      <c r="H443">
        <v>31584</v>
      </c>
      <c r="I443">
        <v>8089.25</v>
      </c>
      <c r="J443">
        <f>YEAR(Table1[OrderDate])</f>
        <v>2025</v>
      </c>
      <c r="K443" t="str">
        <f>TEXT(Table1[[#This Row],[OrderDate]],"mmm")</f>
        <v>Aug</v>
      </c>
      <c r="L443" t="str">
        <f>TEXT(Table1[OrderDate],"ddd")</f>
        <v>Tue</v>
      </c>
    </row>
    <row r="444" spans="1:12" x14ac:dyDescent="0.25">
      <c r="A444" t="s">
        <v>467</v>
      </c>
      <c r="B444" s="1">
        <v>45690</v>
      </c>
      <c r="C444" t="s">
        <v>9</v>
      </c>
      <c r="D444" t="s">
        <v>15</v>
      </c>
      <c r="E444" t="s">
        <v>19</v>
      </c>
      <c r="F444">
        <v>3</v>
      </c>
      <c r="G444">
        <v>584</v>
      </c>
      <c r="H444">
        <v>1752</v>
      </c>
      <c r="I444">
        <v>365.28</v>
      </c>
      <c r="J444">
        <f>YEAR(Table1[OrderDate])</f>
        <v>2025</v>
      </c>
      <c r="K444" t="str">
        <f>TEXT(Table1[[#This Row],[OrderDate]],"mmm")</f>
        <v>Feb</v>
      </c>
      <c r="L444" t="str">
        <f>TEXT(Table1[OrderDate],"ddd")</f>
        <v>Sun</v>
      </c>
    </row>
    <row r="445" spans="1:12" x14ac:dyDescent="0.25">
      <c r="A445" t="s">
        <v>468</v>
      </c>
      <c r="B445" s="1">
        <v>45916</v>
      </c>
      <c r="C445" t="s">
        <v>28</v>
      </c>
      <c r="D445" t="s">
        <v>15</v>
      </c>
      <c r="E445" t="s">
        <v>16</v>
      </c>
      <c r="F445">
        <v>6</v>
      </c>
      <c r="G445">
        <v>746</v>
      </c>
      <c r="H445">
        <v>4476</v>
      </c>
      <c r="I445">
        <v>1279.5999999999999</v>
      </c>
      <c r="J445">
        <f>YEAR(Table1[OrderDate])</f>
        <v>2025</v>
      </c>
      <c r="K445" t="str">
        <f>TEXT(Table1[[#This Row],[OrderDate]],"mmm")</f>
        <v>Sep</v>
      </c>
      <c r="L445" t="str">
        <f>TEXT(Table1[OrderDate],"ddd")</f>
        <v>Tue</v>
      </c>
    </row>
    <row r="446" spans="1:12" x14ac:dyDescent="0.25">
      <c r="A446" t="s">
        <v>469</v>
      </c>
      <c r="B446" s="1">
        <v>45720</v>
      </c>
      <c r="C446" t="s">
        <v>9</v>
      </c>
      <c r="D446" t="s">
        <v>10</v>
      </c>
      <c r="E446" t="s">
        <v>33</v>
      </c>
      <c r="F446">
        <v>6</v>
      </c>
      <c r="G446">
        <v>2732</v>
      </c>
      <c r="H446">
        <v>16392</v>
      </c>
      <c r="I446">
        <v>1905.18</v>
      </c>
      <c r="J446">
        <f>YEAR(Table1[OrderDate])</f>
        <v>2025</v>
      </c>
      <c r="K446" t="str">
        <f>TEXT(Table1[[#This Row],[OrderDate]],"mmm")</f>
        <v>Mar</v>
      </c>
      <c r="L446" t="str">
        <f>TEXT(Table1[OrderDate],"ddd")</f>
        <v>Tue</v>
      </c>
    </row>
    <row r="447" spans="1:12" x14ac:dyDescent="0.25">
      <c r="A447" t="s">
        <v>470</v>
      </c>
      <c r="B447" s="1">
        <v>45941</v>
      </c>
      <c r="C447" t="s">
        <v>18</v>
      </c>
      <c r="D447" t="s">
        <v>15</v>
      </c>
      <c r="E447" t="s">
        <v>16</v>
      </c>
      <c r="F447">
        <v>2</v>
      </c>
      <c r="G447">
        <v>1296</v>
      </c>
      <c r="H447">
        <v>2592</v>
      </c>
      <c r="I447">
        <v>547.37</v>
      </c>
      <c r="J447">
        <f>YEAR(Table1[OrderDate])</f>
        <v>2025</v>
      </c>
      <c r="K447" t="str">
        <f>TEXT(Table1[[#This Row],[OrderDate]],"mmm")</f>
        <v>Oct</v>
      </c>
      <c r="L447" t="str">
        <f>TEXT(Table1[OrderDate],"ddd")</f>
        <v>Sat</v>
      </c>
    </row>
    <row r="448" spans="1:12" x14ac:dyDescent="0.25">
      <c r="A448" t="s">
        <v>471</v>
      </c>
      <c r="B448" s="1">
        <v>45937</v>
      </c>
      <c r="C448" t="s">
        <v>13</v>
      </c>
      <c r="D448" t="s">
        <v>10</v>
      </c>
      <c r="E448" t="s">
        <v>33</v>
      </c>
      <c r="F448">
        <v>10</v>
      </c>
      <c r="G448">
        <v>3278</v>
      </c>
      <c r="H448">
        <v>32780</v>
      </c>
      <c r="I448">
        <v>8255.32</v>
      </c>
      <c r="J448">
        <f>YEAR(Table1[OrderDate])</f>
        <v>2025</v>
      </c>
      <c r="K448" t="str">
        <f>TEXT(Table1[[#This Row],[OrderDate]],"mmm")</f>
        <v>Oct</v>
      </c>
      <c r="L448" t="str">
        <f>TEXT(Table1[OrderDate],"ddd")</f>
        <v>Tue</v>
      </c>
    </row>
    <row r="449" spans="1:12" x14ac:dyDescent="0.25">
      <c r="A449" t="s">
        <v>472</v>
      </c>
      <c r="B449" s="1">
        <v>46017</v>
      </c>
      <c r="C449" t="s">
        <v>18</v>
      </c>
      <c r="D449" t="s">
        <v>10</v>
      </c>
      <c r="E449" t="s">
        <v>30</v>
      </c>
      <c r="F449">
        <v>4</v>
      </c>
      <c r="G449">
        <v>3406</v>
      </c>
      <c r="H449">
        <v>13624</v>
      </c>
      <c r="I449">
        <v>2516.62</v>
      </c>
      <c r="J449">
        <f>YEAR(Table1[OrderDate])</f>
        <v>2025</v>
      </c>
      <c r="K449" t="str">
        <f>TEXT(Table1[[#This Row],[OrderDate]],"mmm")</f>
        <v>Dec</v>
      </c>
      <c r="L449" t="str">
        <f>TEXT(Table1[OrderDate],"ddd")</f>
        <v>Fri</v>
      </c>
    </row>
    <row r="450" spans="1:12" x14ac:dyDescent="0.25">
      <c r="A450" t="s">
        <v>473</v>
      </c>
      <c r="B450" s="1">
        <v>45982</v>
      </c>
      <c r="C450" t="s">
        <v>18</v>
      </c>
      <c r="D450" t="s">
        <v>10</v>
      </c>
      <c r="E450" t="s">
        <v>33</v>
      </c>
      <c r="F450">
        <v>10</v>
      </c>
      <c r="G450">
        <v>1802</v>
      </c>
      <c r="H450">
        <v>18020</v>
      </c>
      <c r="I450">
        <v>2340.09</v>
      </c>
      <c r="J450">
        <f>YEAR(Table1[OrderDate])</f>
        <v>2025</v>
      </c>
      <c r="K450" t="str">
        <f>TEXT(Table1[[#This Row],[OrderDate]],"mmm")</f>
        <v>Nov</v>
      </c>
      <c r="L450" t="str">
        <f>TEXT(Table1[OrderDate],"ddd")</f>
        <v>Fri</v>
      </c>
    </row>
    <row r="451" spans="1:12" x14ac:dyDescent="0.25">
      <c r="A451" t="s">
        <v>474</v>
      </c>
      <c r="B451" s="1">
        <v>45933</v>
      </c>
      <c r="C451" t="s">
        <v>28</v>
      </c>
      <c r="D451" t="s">
        <v>21</v>
      </c>
      <c r="E451" t="s">
        <v>24</v>
      </c>
      <c r="F451">
        <v>10</v>
      </c>
      <c r="G451">
        <v>3602</v>
      </c>
      <c r="H451">
        <v>36020</v>
      </c>
      <c r="I451">
        <v>9016.8799999999992</v>
      </c>
      <c r="J451">
        <f>YEAR(Table1[OrderDate])</f>
        <v>2025</v>
      </c>
      <c r="K451" t="str">
        <f>TEXT(Table1[[#This Row],[OrderDate]],"mmm")</f>
        <v>Oct</v>
      </c>
      <c r="L451" t="str">
        <f>TEXT(Table1[OrderDate],"ddd")</f>
        <v>Fri</v>
      </c>
    </row>
    <row r="452" spans="1:12" x14ac:dyDescent="0.25">
      <c r="A452" t="s">
        <v>475</v>
      </c>
      <c r="B452" s="1">
        <v>45868</v>
      </c>
      <c r="C452" t="s">
        <v>28</v>
      </c>
      <c r="D452" t="s">
        <v>10</v>
      </c>
      <c r="E452" t="s">
        <v>11</v>
      </c>
      <c r="F452">
        <v>10</v>
      </c>
      <c r="G452">
        <v>4907</v>
      </c>
      <c r="H452">
        <v>49070</v>
      </c>
      <c r="I452">
        <v>6064.08</v>
      </c>
      <c r="J452">
        <f>YEAR(Table1[OrderDate])</f>
        <v>2025</v>
      </c>
      <c r="K452" t="str">
        <f>TEXT(Table1[[#This Row],[OrderDate]],"mmm")</f>
        <v>Jul</v>
      </c>
      <c r="L452" t="str">
        <f>TEXT(Table1[OrderDate],"ddd")</f>
        <v>Wed</v>
      </c>
    </row>
    <row r="453" spans="1:12" x14ac:dyDescent="0.25">
      <c r="A453" t="s">
        <v>476</v>
      </c>
      <c r="B453" s="1">
        <v>45849</v>
      </c>
      <c r="C453" t="s">
        <v>13</v>
      </c>
      <c r="D453" t="s">
        <v>15</v>
      </c>
      <c r="E453" t="s">
        <v>19</v>
      </c>
      <c r="F453">
        <v>4</v>
      </c>
      <c r="G453">
        <v>1931</v>
      </c>
      <c r="H453">
        <v>7724</v>
      </c>
      <c r="I453">
        <v>1639.01</v>
      </c>
      <c r="J453">
        <f>YEAR(Table1[OrderDate])</f>
        <v>2025</v>
      </c>
      <c r="K453" t="str">
        <f>TEXT(Table1[[#This Row],[OrderDate]],"mmm")</f>
        <v>Jul</v>
      </c>
      <c r="L453" t="str">
        <f>TEXT(Table1[OrderDate],"ddd")</f>
        <v>Fri</v>
      </c>
    </row>
    <row r="454" spans="1:12" x14ac:dyDescent="0.25">
      <c r="A454" t="s">
        <v>477</v>
      </c>
      <c r="B454" s="1">
        <v>45866</v>
      </c>
      <c r="C454" t="s">
        <v>28</v>
      </c>
      <c r="D454" t="s">
        <v>21</v>
      </c>
      <c r="E454" t="s">
        <v>88</v>
      </c>
      <c r="F454">
        <v>6</v>
      </c>
      <c r="G454">
        <v>3377</v>
      </c>
      <c r="H454">
        <v>20262</v>
      </c>
      <c r="I454">
        <v>5667.98</v>
      </c>
      <c r="J454">
        <f>YEAR(Table1[OrderDate])</f>
        <v>2025</v>
      </c>
      <c r="K454" t="str">
        <f>TEXT(Table1[[#This Row],[OrderDate]],"mmm")</f>
        <v>Jul</v>
      </c>
      <c r="L454" t="str">
        <f>TEXT(Table1[OrderDate],"ddd")</f>
        <v>Mon</v>
      </c>
    </row>
    <row r="455" spans="1:12" x14ac:dyDescent="0.25">
      <c r="A455" t="s">
        <v>478</v>
      </c>
      <c r="B455" s="1">
        <v>45967</v>
      </c>
      <c r="C455" t="s">
        <v>28</v>
      </c>
      <c r="D455" t="s">
        <v>10</v>
      </c>
      <c r="E455" t="s">
        <v>33</v>
      </c>
      <c r="F455">
        <v>8</v>
      </c>
      <c r="G455">
        <v>3212</v>
      </c>
      <c r="H455">
        <v>25696</v>
      </c>
      <c r="I455">
        <v>4800.83</v>
      </c>
      <c r="J455">
        <f>YEAR(Table1[OrderDate])</f>
        <v>2025</v>
      </c>
      <c r="K455" t="str">
        <f>TEXT(Table1[[#This Row],[OrderDate]],"mmm")</f>
        <v>Nov</v>
      </c>
      <c r="L455" t="str">
        <f>TEXT(Table1[OrderDate],"ddd")</f>
        <v>Thu</v>
      </c>
    </row>
    <row r="456" spans="1:12" x14ac:dyDescent="0.25">
      <c r="A456" t="s">
        <v>479</v>
      </c>
      <c r="B456" s="1">
        <v>45826</v>
      </c>
      <c r="C456" t="s">
        <v>9</v>
      </c>
      <c r="D456" t="s">
        <v>21</v>
      </c>
      <c r="E456" t="s">
        <v>88</v>
      </c>
      <c r="F456">
        <v>2</v>
      </c>
      <c r="G456">
        <v>4541</v>
      </c>
      <c r="H456">
        <v>9082</v>
      </c>
      <c r="I456">
        <v>1049.21</v>
      </c>
      <c r="J456">
        <f>YEAR(Table1[OrderDate])</f>
        <v>2025</v>
      </c>
      <c r="K456" t="str">
        <f>TEXT(Table1[[#This Row],[OrderDate]],"mmm")</f>
        <v>Jun</v>
      </c>
      <c r="L456" t="str">
        <f>TEXT(Table1[OrderDate],"ddd")</f>
        <v>Wed</v>
      </c>
    </row>
    <row r="457" spans="1:12" x14ac:dyDescent="0.25">
      <c r="A457" t="s">
        <v>480</v>
      </c>
      <c r="B457" s="1">
        <v>45860</v>
      </c>
      <c r="C457" t="s">
        <v>18</v>
      </c>
      <c r="D457" t="s">
        <v>15</v>
      </c>
      <c r="E457" t="s">
        <v>16</v>
      </c>
      <c r="F457">
        <v>4</v>
      </c>
      <c r="G457">
        <v>2570</v>
      </c>
      <c r="H457">
        <v>10280</v>
      </c>
      <c r="I457">
        <v>2475.04</v>
      </c>
      <c r="J457">
        <f>YEAR(Table1[OrderDate])</f>
        <v>2025</v>
      </c>
      <c r="K457" t="str">
        <f>TEXT(Table1[[#This Row],[OrderDate]],"mmm")</f>
        <v>Jul</v>
      </c>
      <c r="L457" t="str">
        <f>TEXT(Table1[OrderDate],"ddd")</f>
        <v>Tue</v>
      </c>
    </row>
    <row r="458" spans="1:12" x14ac:dyDescent="0.25">
      <c r="A458" t="s">
        <v>481</v>
      </c>
      <c r="B458" s="1">
        <v>46018</v>
      </c>
      <c r="C458" t="s">
        <v>13</v>
      </c>
      <c r="D458" t="s">
        <v>15</v>
      </c>
      <c r="E458" t="s">
        <v>80</v>
      </c>
      <c r="F458">
        <v>1</v>
      </c>
      <c r="G458">
        <v>4750</v>
      </c>
      <c r="H458">
        <v>4750</v>
      </c>
      <c r="I458">
        <v>493.03</v>
      </c>
      <c r="J458">
        <f>YEAR(Table1[OrderDate])</f>
        <v>2025</v>
      </c>
      <c r="K458" t="str">
        <f>TEXT(Table1[[#This Row],[OrderDate]],"mmm")</f>
        <v>Dec</v>
      </c>
      <c r="L458" t="str">
        <f>TEXT(Table1[OrderDate],"ddd")</f>
        <v>Sat</v>
      </c>
    </row>
    <row r="459" spans="1:12" x14ac:dyDescent="0.25">
      <c r="A459" t="s">
        <v>482</v>
      </c>
      <c r="B459" s="1">
        <v>46010</v>
      </c>
      <c r="C459" t="s">
        <v>13</v>
      </c>
      <c r="D459" t="s">
        <v>21</v>
      </c>
      <c r="E459" t="s">
        <v>24</v>
      </c>
      <c r="F459">
        <v>8</v>
      </c>
      <c r="G459">
        <v>294</v>
      </c>
      <c r="H459">
        <v>2352</v>
      </c>
      <c r="I459">
        <v>479.14</v>
      </c>
      <c r="J459">
        <f>YEAR(Table1[OrderDate])</f>
        <v>2025</v>
      </c>
      <c r="K459" t="str">
        <f>TEXT(Table1[[#This Row],[OrderDate]],"mmm")</f>
        <v>Dec</v>
      </c>
      <c r="L459" t="str">
        <f>TEXT(Table1[OrderDate],"ddd")</f>
        <v>Fri</v>
      </c>
    </row>
    <row r="460" spans="1:12" x14ac:dyDescent="0.25">
      <c r="A460" t="s">
        <v>483</v>
      </c>
      <c r="B460" s="1">
        <v>45725</v>
      </c>
      <c r="C460" t="s">
        <v>9</v>
      </c>
      <c r="D460" t="s">
        <v>10</v>
      </c>
      <c r="E460" t="s">
        <v>33</v>
      </c>
      <c r="F460">
        <v>7</v>
      </c>
      <c r="G460">
        <v>4162</v>
      </c>
      <c r="H460">
        <v>29134</v>
      </c>
      <c r="I460">
        <v>7973.97</v>
      </c>
      <c r="J460">
        <f>YEAR(Table1[OrderDate])</f>
        <v>2025</v>
      </c>
      <c r="K460" t="str">
        <f>TEXT(Table1[[#This Row],[OrderDate]],"mmm")</f>
        <v>Mar</v>
      </c>
      <c r="L460" t="str">
        <f>TEXT(Table1[OrderDate],"ddd")</f>
        <v>Sun</v>
      </c>
    </row>
    <row r="461" spans="1:12" x14ac:dyDescent="0.25">
      <c r="A461" t="s">
        <v>484</v>
      </c>
      <c r="B461" s="1">
        <v>45999</v>
      </c>
      <c r="C461" t="s">
        <v>13</v>
      </c>
      <c r="D461" t="s">
        <v>10</v>
      </c>
      <c r="E461" t="s">
        <v>11</v>
      </c>
      <c r="F461">
        <v>3</v>
      </c>
      <c r="G461">
        <v>3171</v>
      </c>
      <c r="H461">
        <v>9513</v>
      </c>
      <c r="I461">
        <v>1755.37</v>
      </c>
      <c r="J461">
        <f>YEAR(Table1[OrderDate])</f>
        <v>2025</v>
      </c>
      <c r="K461" t="str">
        <f>TEXT(Table1[[#This Row],[OrderDate]],"mmm")</f>
        <v>Dec</v>
      </c>
      <c r="L461" t="str">
        <f>TEXT(Table1[OrderDate],"ddd")</f>
        <v>Mon</v>
      </c>
    </row>
    <row r="462" spans="1:12" x14ac:dyDescent="0.25">
      <c r="A462" t="s">
        <v>485</v>
      </c>
      <c r="B462" s="1">
        <v>45840</v>
      </c>
      <c r="C462" t="s">
        <v>18</v>
      </c>
      <c r="D462" t="s">
        <v>15</v>
      </c>
      <c r="E462" t="s">
        <v>19</v>
      </c>
      <c r="F462">
        <v>8</v>
      </c>
      <c r="G462">
        <v>3855</v>
      </c>
      <c r="H462">
        <v>30840</v>
      </c>
      <c r="I462">
        <v>5893.3</v>
      </c>
      <c r="J462">
        <f>YEAR(Table1[OrderDate])</f>
        <v>2025</v>
      </c>
      <c r="K462" t="str">
        <f>TEXT(Table1[[#This Row],[OrderDate]],"mmm")</f>
        <v>Jul</v>
      </c>
      <c r="L462" t="str">
        <f>TEXT(Table1[OrderDate],"ddd")</f>
        <v>Wed</v>
      </c>
    </row>
    <row r="463" spans="1:12" x14ac:dyDescent="0.25">
      <c r="A463" t="s">
        <v>486</v>
      </c>
      <c r="B463" s="1">
        <v>45945</v>
      </c>
      <c r="C463" t="s">
        <v>9</v>
      </c>
      <c r="D463" t="s">
        <v>10</v>
      </c>
      <c r="E463" t="s">
        <v>33</v>
      </c>
      <c r="F463">
        <v>6</v>
      </c>
      <c r="G463">
        <v>2128</v>
      </c>
      <c r="H463">
        <v>12768</v>
      </c>
      <c r="I463">
        <v>3024.33</v>
      </c>
      <c r="J463">
        <f>YEAR(Table1[OrderDate])</f>
        <v>2025</v>
      </c>
      <c r="K463" t="str">
        <f>TEXT(Table1[[#This Row],[OrderDate]],"mmm")</f>
        <v>Oct</v>
      </c>
      <c r="L463" t="str">
        <f>TEXT(Table1[OrderDate],"ddd")</f>
        <v>Wed</v>
      </c>
    </row>
    <row r="464" spans="1:12" x14ac:dyDescent="0.25">
      <c r="A464" t="s">
        <v>487</v>
      </c>
      <c r="B464" s="1">
        <v>45867</v>
      </c>
      <c r="C464" t="s">
        <v>13</v>
      </c>
      <c r="D464" t="s">
        <v>15</v>
      </c>
      <c r="E464" t="s">
        <v>19</v>
      </c>
      <c r="F464">
        <v>4</v>
      </c>
      <c r="G464">
        <v>3345</v>
      </c>
      <c r="H464">
        <v>13380</v>
      </c>
      <c r="I464">
        <v>2061.06</v>
      </c>
      <c r="J464">
        <f>YEAR(Table1[OrderDate])</f>
        <v>2025</v>
      </c>
      <c r="K464" t="str">
        <f>TEXT(Table1[[#This Row],[OrderDate]],"mmm")</f>
        <v>Jul</v>
      </c>
      <c r="L464" t="str">
        <f>TEXT(Table1[OrderDate],"ddd")</f>
        <v>Tue</v>
      </c>
    </row>
    <row r="465" spans="1:12" x14ac:dyDescent="0.25">
      <c r="A465" t="s">
        <v>488</v>
      </c>
      <c r="B465" s="1">
        <v>45800</v>
      </c>
      <c r="C465" t="s">
        <v>13</v>
      </c>
      <c r="D465" t="s">
        <v>10</v>
      </c>
      <c r="E465" t="s">
        <v>30</v>
      </c>
      <c r="F465">
        <v>5</v>
      </c>
      <c r="G465">
        <v>1587</v>
      </c>
      <c r="H465">
        <v>7935</v>
      </c>
      <c r="I465">
        <v>1284.6199999999999</v>
      </c>
      <c r="J465">
        <f>YEAR(Table1[OrderDate])</f>
        <v>2025</v>
      </c>
      <c r="K465" t="str">
        <f>TEXT(Table1[[#This Row],[OrderDate]],"mmm")</f>
        <v>May</v>
      </c>
      <c r="L465" t="str">
        <f>TEXT(Table1[OrderDate],"ddd")</f>
        <v>Fri</v>
      </c>
    </row>
    <row r="466" spans="1:12" x14ac:dyDescent="0.25">
      <c r="A466" t="s">
        <v>489</v>
      </c>
      <c r="B466" s="1">
        <v>46018</v>
      </c>
      <c r="C466" t="s">
        <v>13</v>
      </c>
      <c r="D466" t="s">
        <v>10</v>
      </c>
      <c r="E466" t="s">
        <v>11</v>
      </c>
      <c r="F466">
        <v>2</v>
      </c>
      <c r="G466">
        <v>662</v>
      </c>
      <c r="H466">
        <v>1324</v>
      </c>
      <c r="I466">
        <v>190.12</v>
      </c>
      <c r="J466">
        <f>YEAR(Table1[OrderDate])</f>
        <v>2025</v>
      </c>
      <c r="K466" t="str">
        <f>TEXT(Table1[[#This Row],[OrderDate]],"mmm")</f>
        <v>Dec</v>
      </c>
      <c r="L466" t="str">
        <f>TEXT(Table1[OrderDate],"ddd")</f>
        <v>Sat</v>
      </c>
    </row>
    <row r="467" spans="1:12" x14ac:dyDescent="0.25">
      <c r="A467" t="s">
        <v>490</v>
      </c>
      <c r="B467" s="1">
        <v>45812</v>
      </c>
      <c r="C467" t="s">
        <v>9</v>
      </c>
      <c r="D467" t="s">
        <v>21</v>
      </c>
      <c r="E467" t="s">
        <v>22</v>
      </c>
      <c r="F467">
        <v>2</v>
      </c>
      <c r="G467">
        <v>3251</v>
      </c>
      <c r="H467">
        <v>6502</v>
      </c>
      <c r="I467">
        <v>682.21</v>
      </c>
      <c r="J467">
        <f>YEAR(Table1[OrderDate])</f>
        <v>2025</v>
      </c>
      <c r="K467" t="str">
        <f>TEXT(Table1[[#This Row],[OrderDate]],"mmm")</f>
        <v>Jun</v>
      </c>
      <c r="L467" t="str">
        <f>TEXT(Table1[OrderDate],"ddd")</f>
        <v>Wed</v>
      </c>
    </row>
    <row r="468" spans="1:12" x14ac:dyDescent="0.25">
      <c r="A468" t="s">
        <v>491</v>
      </c>
      <c r="B468" s="1">
        <v>45751</v>
      </c>
      <c r="C468" t="s">
        <v>18</v>
      </c>
      <c r="D468" t="s">
        <v>10</v>
      </c>
      <c r="E468" t="s">
        <v>33</v>
      </c>
      <c r="F468">
        <v>7</v>
      </c>
      <c r="G468">
        <v>3802</v>
      </c>
      <c r="H468">
        <v>26614</v>
      </c>
      <c r="I468">
        <v>2280.85</v>
      </c>
      <c r="J468">
        <f>YEAR(Table1[OrderDate])</f>
        <v>2025</v>
      </c>
      <c r="K468" t="str">
        <f>TEXT(Table1[[#This Row],[OrderDate]],"mmm")</f>
        <v>Apr</v>
      </c>
      <c r="L468" t="str">
        <f>TEXT(Table1[OrderDate],"ddd")</f>
        <v>Fri</v>
      </c>
    </row>
    <row r="469" spans="1:12" x14ac:dyDescent="0.25">
      <c r="A469" t="s">
        <v>492</v>
      </c>
      <c r="B469" s="1">
        <v>45957</v>
      </c>
      <c r="C469" t="s">
        <v>28</v>
      </c>
      <c r="D469" t="s">
        <v>15</v>
      </c>
      <c r="E469" t="s">
        <v>16</v>
      </c>
      <c r="F469">
        <v>3</v>
      </c>
      <c r="G469">
        <v>4715</v>
      </c>
      <c r="H469">
        <v>14145</v>
      </c>
      <c r="I469">
        <v>1513</v>
      </c>
      <c r="J469">
        <f>YEAR(Table1[OrderDate])</f>
        <v>2025</v>
      </c>
      <c r="K469" t="str">
        <f>TEXT(Table1[[#This Row],[OrderDate]],"mmm")</f>
        <v>Oct</v>
      </c>
      <c r="L469" t="str">
        <f>TEXT(Table1[OrderDate],"ddd")</f>
        <v>Mon</v>
      </c>
    </row>
    <row r="470" spans="1:12" x14ac:dyDescent="0.25">
      <c r="A470" t="s">
        <v>493</v>
      </c>
      <c r="B470" s="1">
        <v>45955</v>
      </c>
      <c r="C470" t="s">
        <v>28</v>
      </c>
      <c r="D470" t="s">
        <v>15</v>
      </c>
      <c r="E470" t="s">
        <v>80</v>
      </c>
      <c r="F470">
        <v>3</v>
      </c>
      <c r="G470">
        <v>4451</v>
      </c>
      <c r="H470">
        <v>13353</v>
      </c>
      <c r="I470">
        <v>2897.58</v>
      </c>
      <c r="J470">
        <f>YEAR(Table1[OrderDate])</f>
        <v>2025</v>
      </c>
      <c r="K470" t="str">
        <f>TEXT(Table1[[#This Row],[OrderDate]],"mmm")</f>
        <v>Oct</v>
      </c>
      <c r="L470" t="str">
        <f>TEXT(Table1[OrderDate],"ddd")</f>
        <v>Sat</v>
      </c>
    </row>
    <row r="471" spans="1:12" x14ac:dyDescent="0.25">
      <c r="A471" t="s">
        <v>494</v>
      </c>
      <c r="B471" s="1">
        <v>46018</v>
      </c>
      <c r="C471" t="s">
        <v>18</v>
      </c>
      <c r="D471" t="s">
        <v>21</v>
      </c>
      <c r="E471" t="s">
        <v>22</v>
      </c>
      <c r="F471">
        <v>5</v>
      </c>
      <c r="G471">
        <v>1449</v>
      </c>
      <c r="H471">
        <v>7245</v>
      </c>
      <c r="I471">
        <v>1116.6300000000001</v>
      </c>
      <c r="J471">
        <f>YEAR(Table1[OrderDate])</f>
        <v>2025</v>
      </c>
      <c r="K471" t="str">
        <f>TEXT(Table1[[#This Row],[OrderDate]],"mmm")</f>
        <v>Dec</v>
      </c>
      <c r="L471" t="str">
        <f>TEXT(Table1[OrderDate],"ddd")</f>
        <v>Sat</v>
      </c>
    </row>
    <row r="472" spans="1:12" x14ac:dyDescent="0.25">
      <c r="A472" t="s">
        <v>495</v>
      </c>
      <c r="B472" s="1">
        <v>45759</v>
      </c>
      <c r="C472" t="s">
        <v>28</v>
      </c>
      <c r="D472" t="s">
        <v>21</v>
      </c>
      <c r="E472" t="s">
        <v>22</v>
      </c>
      <c r="F472">
        <v>1</v>
      </c>
      <c r="G472">
        <v>1467</v>
      </c>
      <c r="H472">
        <v>1467</v>
      </c>
      <c r="I472">
        <v>193.48</v>
      </c>
      <c r="J472">
        <f>YEAR(Table1[OrderDate])</f>
        <v>2025</v>
      </c>
      <c r="K472" t="str">
        <f>TEXT(Table1[[#This Row],[OrderDate]],"mmm")</f>
        <v>Apr</v>
      </c>
      <c r="L472" t="str">
        <f>TEXT(Table1[OrderDate],"ddd")</f>
        <v>Sat</v>
      </c>
    </row>
    <row r="473" spans="1:12" x14ac:dyDescent="0.25">
      <c r="A473" t="s">
        <v>496</v>
      </c>
      <c r="B473" s="1">
        <v>45942</v>
      </c>
      <c r="C473" t="s">
        <v>13</v>
      </c>
      <c r="D473" t="s">
        <v>10</v>
      </c>
      <c r="E473" t="s">
        <v>33</v>
      </c>
      <c r="F473">
        <v>6</v>
      </c>
      <c r="G473">
        <v>2932</v>
      </c>
      <c r="H473">
        <v>17592</v>
      </c>
      <c r="I473">
        <v>4085.07</v>
      </c>
      <c r="J473">
        <f>YEAR(Table1[OrderDate])</f>
        <v>2025</v>
      </c>
      <c r="K473" t="str">
        <f>TEXT(Table1[[#This Row],[OrderDate]],"mmm")</f>
        <v>Oct</v>
      </c>
      <c r="L473" t="str">
        <f>TEXT(Table1[OrderDate],"ddd")</f>
        <v>Sun</v>
      </c>
    </row>
    <row r="474" spans="1:12" x14ac:dyDescent="0.25">
      <c r="A474" t="s">
        <v>497</v>
      </c>
      <c r="B474" s="1">
        <v>45659</v>
      </c>
      <c r="C474" t="s">
        <v>13</v>
      </c>
      <c r="D474" t="s">
        <v>21</v>
      </c>
      <c r="E474" t="s">
        <v>88</v>
      </c>
      <c r="F474">
        <v>3</v>
      </c>
      <c r="G474">
        <v>1451</v>
      </c>
      <c r="H474">
        <v>4353</v>
      </c>
      <c r="I474">
        <v>911.19</v>
      </c>
      <c r="J474">
        <f>YEAR(Table1[OrderDate])</f>
        <v>2025</v>
      </c>
      <c r="K474" t="str">
        <f>TEXT(Table1[[#This Row],[OrderDate]],"mmm")</f>
        <v>Jan</v>
      </c>
      <c r="L474" t="str">
        <f>TEXT(Table1[OrderDate],"ddd")</f>
        <v>Thu</v>
      </c>
    </row>
    <row r="475" spans="1:12" x14ac:dyDescent="0.25">
      <c r="A475" t="s">
        <v>498</v>
      </c>
      <c r="B475" s="1">
        <v>45667</v>
      </c>
      <c r="C475" t="s">
        <v>18</v>
      </c>
      <c r="D475" t="s">
        <v>21</v>
      </c>
      <c r="E475" t="s">
        <v>88</v>
      </c>
      <c r="F475">
        <v>9</v>
      </c>
      <c r="G475">
        <v>3723</v>
      </c>
      <c r="H475">
        <v>33507</v>
      </c>
      <c r="I475">
        <v>9590.64</v>
      </c>
      <c r="J475">
        <f>YEAR(Table1[OrderDate])</f>
        <v>2025</v>
      </c>
      <c r="K475" t="str">
        <f>TEXT(Table1[[#This Row],[OrderDate]],"mmm")</f>
        <v>Jan</v>
      </c>
      <c r="L475" t="str">
        <f>TEXT(Table1[OrderDate],"ddd")</f>
        <v>Fri</v>
      </c>
    </row>
    <row r="476" spans="1:12" x14ac:dyDescent="0.25">
      <c r="A476" t="s">
        <v>499</v>
      </c>
      <c r="B476" s="1">
        <v>45702</v>
      </c>
      <c r="C476" t="s">
        <v>9</v>
      </c>
      <c r="D476" t="s">
        <v>10</v>
      </c>
      <c r="E476" t="s">
        <v>30</v>
      </c>
      <c r="F476">
        <v>5</v>
      </c>
      <c r="G476">
        <v>2476</v>
      </c>
      <c r="H476">
        <v>12380</v>
      </c>
      <c r="I476">
        <v>3046.01</v>
      </c>
      <c r="J476">
        <f>YEAR(Table1[OrderDate])</f>
        <v>2025</v>
      </c>
      <c r="K476" t="str">
        <f>TEXT(Table1[[#This Row],[OrderDate]],"mmm")</f>
        <v>Feb</v>
      </c>
      <c r="L476" t="str">
        <f>TEXT(Table1[OrderDate],"ddd")</f>
        <v>Fri</v>
      </c>
    </row>
    <row r="477" spans="1:12" x14ac:dyDescent="0.25">
      <c r="A477" t="s">
        <v>500</v>
      </c>
      <c r="B477" s="1">
        <v>45928</v>
      </c>
      <c r="C477" t="s">
        <v>9</v>
      </c>
      <c r="D477" t="s">
        <v>10</v>
      </c>
      <c r="E477" t="s">
        <v>33</v>
      </c>
      <c r="F477">
        <v>4</v>
      </c>
      <c r="G477">
        <v>2708</v>
      </c>
      <c r="H477">
        <v>10832</v>
      </c>
      <c r="I477">
        <v>2294.87</v>
      </c>
      <c r="J477">
        <f>YEAR(Table1[OrderDate])</f>
        <v>2025</v>
      </c>
      <c r="K477" t="str">
        <f>TEXT(Table1[[#This Row],[OrderDate]],"mmm")</f>
        <v>Sep</v>
      </c>
      <c r="L477" t="str">
        <f>TEXT(Table1[OrderDate],"ddd")</f>
        <v>Sun</v>
      </c>
    </row>
    <row r="478" spans="1:12" x14ac:dyDescent="0.25">
      <c r="A478" t="s">
        <v>501</v>
      </c>
      <c r="B478" s="1">
        <v>45834</v>
      </c>
      <c r="C478" t="s">
        <v>28</v>
      </c>
      <c r="D478" t="s">
        <v>10</v>
      </c>
      <c r="E478" t="s">
        <v>33</v>
      </c>
      <c r="F478">
        <v>9</v>
      </c>
      <c r="G478">
        <v>1844</v>
      </c>
      <c r="H478">
        <v>16596</v>
      </c>
      <c r="I478">
        <v>1717.5</v>
      </c>
      <c r="J478">
        <f>YEAR(Table1[OrderDate])</f>
        <v>2025</v>
      </c>
      <c r="K478" t="str">
        <f>TEXT(Table1[[#This Row],[OrderDate]],"mmm")</f>
        <v>Jun</v>
      </c>
      <c r="L478" t="str">
        <f>TEXT(Table1[OrderDate],"ddd")</f>
        <v>Thu</v>
      </c>
    </row>
    <row r="479" spans="1:12" x14ac:dyDescent="0.25">
      <c r="A479" t="s">
        <v>502</v>
      </c>
      <c r="B479" s="1">
        <v>45698</v>
      </c>
      <c r="C479" t="s">
        <v>9</v>
      </c>
      <c r="D479" t="s">
        <v>10</v>
      </c>
      <c r="E479" t="s">
        <v>11</v>
      </c>
      <c r="F479">
        <v>5</v>
      </c>
      <c r="G479">
        <v>2717</v>
      </c>
      <c r="H479">
        <v>13585</v>
      </c>
      <c r="I479">
        <v>3083.51</v>
      </c>
      <c r="J479">
        <f>YEAR(Table1[OrderDate])</f>
        <v>2025</v>
      </c>
      <c r="K479" t="str">
        <f>TEXT(Table1[[#This Row],[OrderDate]],"mmm")</f>
        <v>Feb</v>
      </c>
      <c r="L479" t="str">
        <f>TEXT(Table1[OrderDate],"ddd")</f>
        <v>Mon</v>
      </c>
    </row>
    <row r="480" spans="1:12" x14ac:dyDescent="0.25">
      <c r="A480" t="s">
        <v>503</v>
      </c>
      <c r="B480" s="1">
        <v>46013</v>
      </c>
      <c r="C480" t="s">
        <v>13</v>
      </c>
      <c r="D480" t="s">
        <v>10</v>
      </c>
      <c r="E480" t="s">
        <v>33</v>
      </c>
      <c r="F480">
        <v>1</v>
      </c>
      <c r="G480">
        <v>838</v>
      </c>
      <c r="H480">
        <v>838</v>
      </c>
      <c r="I480">
        <v>248.78</v>
      </c>
      <c r="J480">
        <f>YEAR(Table1[OrderDate])</f>
        <v>2025</v>
      </c>
      <c r="K480" t="str">
        <f>TEXT(Table1[[#This Row],[OrderDate]],"mmm")</f>
        <v>Dec</v>
      </c>
      <c r="L480" t="str">
        <f>TEXT(Table1[OrderDate],"ddd")</f>
        <v>Mon</v>
      </c>
    </row>
    <row r="481" spans="1:12" x14ac:dyDescent="0.25">
      <c r="A481" t="s">
        <v>504</v>
      </c>
      <c r="B481" s="1">
        <v>45678</v>
      </c>
      <c r="C481" t="s">
        <v>13</v>
      </c>
      <c r="D481" t="s">
        <v>21</v>
      </c>
      <c r="E481" t="s">
        <v>45</v>
      </c>
      <c r="F481">
        <v>2</v>
      </c>
      <c r="G481">
        <v>521</v>
      </c>
      <c r="H481">
        <v>1042</v>
      </c>
      <c r="I481">
        <v>228.33</v>
      </c>
      <c r="J481">
        <f>YEAR(Table1[OrderDate])</f>
        <v>2025</v>
      </c>
      <c r="K481" t="str">
        <f>TEXT(Table1[[#This Row],[OrderDate]],"mmm")</f>
        <v>Jan</v>
      </c>
      <c r="L481" t="str">
        <f>TEXT(Table1[OrderDate],"ddd")</f>
        <v>Tue</v>
      </c>
    </row>
    <row r="482" spans="1:12" x14ac:dyDescent="0.25">
      <c r="A482" t="s">
        <v>505</v>
      </c>
      <c r="B482" s="1">
        <v>45896</v>
      </c>
      <c r="C482" t="s">
        <v>28</v>
      </c>
      <c r="D482" t="s">
        <v>10</v>
      </c>
      <c r="E482" t="s">
        <v>30</v>
      </c>
      <c r="F482">
        <v>5</v>
      </c>
      <c r="G482">
        <v>3894</v>
      </c>
      <c r="H482">
        <v>19470</v>
      </c>
      <c r="I482">
        <v>1864.83</v>
      </c>
      <c r="J482">
        <f>YEAR(Table1[OrderDate])</f>
        <v>2025</v>
      </c>
      <c r="K482" t="str">
        <f>TEXT(Table1[[#This Row],[OrderDate]],"mmm")</f>
        <v>Aug</v>
      </c>
      <c r="L482" t="str">
        <f>TEXT(Table1[OrderDate],"ddd")</f>
        <v>Wed</v>
      </c>
    </row>
    <row r="483" spans="1:12" x14ac:dyDescent="0.25">
      <c r="A483" t="s">
        <v>506</v>
      </c>
      <c r="B483" s="1">
        <v>45680</v>
      </c>
      <c r="C483" t="s">
        <v>13</v>
      </c>
      <c r="D483" t="s">
        <v>21</v>
      </c>
      <c r="E483" t="s">
        <v>24</v>
      </c>
      <c r="F483">
        <v>2</v>
      </c>
      <c r="G483">
        <v>1466</v>
      </c>
      <c r="H483">
        <v>2932</v>
      </c>
      <c r="I483">
        <v>606.51</v>
      </c>
      <c r="J483">
        <f>YEAR(Table1[OrderDate])</f>
        <v>2025</v>
      </c>
      <c r="K483" t="str">
        <f>TEXT(Table1[[#This Row],[OrderDate]],"mmm")</f>
        <v>Jan</v>
      </c>
      <c r="L483" t="str">
        <f>TEXT(Table1[OrderDate],"ddd")</f>
        <v>Thu</v>
      </c>
    </row>
    <row r="484" spans="1:12" x14ac:dyDescent="0.25">
      <c r="A484" t="s">
        <v>507</v>
      </c>
      <c r="B484" s="1">
        <v>45884</v>
      </c>
      <c r="C484" t="s">
        <v>9</v>
      </c>
      <c r="D484" t="s">
        <v>21</v>
      </c>
      <c r="E484" t="s">
        <v>88</v>
      </c>
      <c r="F484">
        <v>4</v>
      </c>
      <c r="G484">
        <v>3985</v>
      </c>
      <c r="H484">
        <v>15940</v>
      </c>
      <c r="I484">
        <v>3188.67</v>
      </c>
      <c r="J484">
        <f>YEAR(Table1[OrderDate])</f>
        <v>2025</v>
      </c>
      <c r="K484" t="str">
        <f>TEXT(Table1[[#This Row],[OrderDate]],"mmm")</f>
        <v>Aug</v>
      </c>
      <c r="L484" t="str">
        <f>TEXT(Table1[OrderDate],"ddd")</f>
        <v>Fri</v>
      </c>
    </row>
    <row r="485" spans="1:12" x14ac:dyDescent="0.25">
      <c r="A485" t="s">
        <v>508</v>
      </c>
      <c r="B485" s="1">
        <v>45966</v>
      </c>
      <c r="C485" t="s">
        <v>18</v>
      </c>
      <c r="D485" t="s">
        <v>15</v>
      </c>
      <c r="E485" t="s">
        <v>19</v>
      </c>
      <c r="F485">
        <v>9</v>
      </c>
      <c r="G485">
        <v>4052</v>
      </c>
      <c r="H485">
        <v>36468</v>
      </c>
      <c r="I485">
        <v>5338.15</v>
      </c>
      <c r="J485">
        <f>YEAR(Table1[OrderDate])</f>
        <v>2025</v>
      </c>
      <c r="K485" t="str">
        <f>TEXT(Table1[[#This Row],[OrderDate]],"mmm")</f>
        <v>Nov</v>
      </c>
      <c r="L485" t="str">
        <f>TEXT(Table1[OrderDate],"ddd")</f>
        <v>Wed</v>
      </c>
    </row>
    <row r="486" spans="1:12" x14ac:dyDescent="0.25">
      <c r="A486" t="s">
        <v>509</v>
      </c>
      <c r="B486" s="1">
        <v>45770</v>
      </c>
      <c r="C486" t="s">
        <v>9</v>
      </c>
      <c r="D486" t="s">
        <v>10</v>
      </c>
      <c r="E486" t="s">
        <v>30</v>
      </c>
      <c r="F486">
        <v>9</v>
      </c>
      <c r="G486">
        <v>3544</v>
      </c>
      <c r="H486">
        <v>31896</v>
      </c>
      <c r="I486">
        <v>6729.8</v>
      </c>
      <c r="J486">
        <f>YEAR(Table1[OrderDate])</f>
        <v>2025</v>
      </c>
      <c r="K486" t="str">
        <f>TEXT(Table1[[#This Row],[OrderDate]],"mmm")</f>
        <v>Apr</v>
      </c>
      <c r="L486" t="str">
        <f>TEXT(Table1[OrderDate],"ddd")</f>
        <v>Wed</v>
      </c>
    </row>
    <row r="487" spans="1:12" x14ac:dyDescent="0.25">
      <c r="A487" t="s">
        <v>510</v>
      </c>
      <c r="B487" s="1">
        <v>45909</v>
      </c>
      <c r="C487" t="s">
        <v>9</v>
      </c>
      <c r="D487" t="s">
        <v>21</v>
      </c>
      <c r="E487" t="s">
        <v>22</v>
      </c>
      <c r="F487">
        <v>6</v>
      </c>
      <c r="G487">
        <v>1587</v>
      </c>
      <c r="H487">
        <v>9522</v>
      </c>
      <c r="I487">
        <v>1174.3699999999999</v>
      </c>
      <c r="J487">
        <f>YEAR(Table1[OrderDate])</f>
        <v>2025</v>
      </c>
      <c r="K487" t="str">
        <f>TEXT(Table1[[#This Row],[OrderDate]],"mmm")</f>
        <v>Sep</v>
      </c>
      <c r="L487" t="str">
        <f>TEXT(Table1[OrderDate],"ddd")</f>
        <v>Tue</v>
      </c>
    </row>
    <row r="488" spans="1:12" x14ac:dyDescent="0.25">
      <c r="A488" t="s">
        <v>511</v>
      </c>
      <c r="B488" s="1">
        <v>45757</v>
      </c>
      <c r="C488" t="s">
        <v>28</v>
      </c>
      <c r="D488" t="s">
        <v>10</v>
      </c>
      <c r="E488" t="s">
        <v>11</v>
      </c>
      <c r="F488">
        <v>4</v>
      </c>
      <c r="G488">
        <v>2150</v>
      </c>
      <c r="H488">
        <v>8600</v>
      </c>
      <c r="I488">
        <v>920.28</v>
      </c>
      <c r="J488">
        <f>YEAR(Table1[OrderDate])</f>
        <v>2025</v>
      </c>
      <c r="K488" t="str">
        <f>TEXT(Table1[[#This Row],[OrderDate]],"mmm")</f>
        <v>Apr</v>
      </c>
      <c r="L488" t="str">
        <f>TEXT(Table1[OrderDate],"ddd")</f>
        <v>Thu</v>
      </c>
    </row>
    <row r="489" spans="1:12" x14ac:dyDescent="0.25">
      <c r="A489" t="s">
        <v>512</v>
      </c>
      <c r="B489" s="1">
        <v>45954</v>
      </c>
      <c r="C489" t="s">
        <v>28</v>
      </c>
      <c r="D489" t="s">
        <v>15</v>
      </c>
      <c r="E489" t="s">
        <v>16</v>
      </c>
      <c r="F489">
        <v>2</v>
      </c>
      <c r="G489">
        <v>684</v>
      </c>
      <c r="H489">
        <v>1368</v>
      </c>
      <c r="I489">
        <v>383.62</v>
      </c>
      <c r="J489">
        <f>YEAR(Table1[OrderDate])</f>
        <v>2025</v>
      </c>
      <c r="K489" t="str">
        <f>TEXT(Table1[[#This Row],[OrderDate]],"mmm")</f>
        <v>Oct</v>
      </c>
      <c r="L489" t="str">
        <f>TEXT(Table1[OrderDate],"ddd")</f>
        <v>Fri</v>
      </c>
    </row>
    <row r="490" spans="1:12" x14ac:dyDescent="0.25">
      <c r="A490" t="s">
        <v>513</v>
      </c>
      <c r="B490" s="1">
        <v>45792</v>
      </c>
      <c r="C490" t="s">
        <v>13</v>
      </c>
      <c r="D490" t="s">
        <v>21</v>
      </c>
      <c r="E490" t="s">
        <v>24</v>
      </c>
      <c r="F490">
        <v>2</v>
      </c>
      <c r="G490">
        <v>3635</v>
      </c>
      <c r="H490">
        <v>7270</v>
      </c>
      <c r="I490">
        <v>1035.21</v>
      </c>
      <c r="J490">
        <f>YEAR(Table1[OrderDate])</f>
        <v>2025</v>
      </c>
      <c r="K490" t="str">
        <f>TEXT(Table1[[#This Row],[OrderDate]],"mmm")</f>
        <v>May</v>
      </c>
      <c r="L490" t="str">
        <f>TEXT(Table1[OrderDate],"ddd")</f>
        <v>Thu</v>
      </c>
    </row>
    <row r="491" spans="1:12" x14ac:dyDescent="0.25">
      <c r="A491" t="s">
        <v>514</v>
      </c>
      <c r="B491" s="1">
        <v>45871</v>
      </c>
      <c r="C491" t="s">
        <v>18</v>
      </c>
      <c r="D491" t="s">
        <v>15</v>
      </c>
      <c r="E491" t="s">
        <v>19</v>
      </c>
      <c r="F491">
        <v>3</v>
      </c>
      <c r="G491">
        <v>981</v>
      </c>
      <c r="H491">
        <v>2943</v>
      </c>
      <c r="I491">
        <v>493.24</v>
      </c>
      <c r="J491">
        <f>YEAR(Table1[OrderDate])</f>
        <v>2025</v>
      </c>
      <c r="K491" t="str">
        <f>TEXT(Table1[[#This Row],[OrderDate]],"mmm")</f>
        <v>Aug</v>
      </c>
      <c r="L491" t="str">
        <f>TEXT(Table1[OrderDate],"ddd")</f>
        <v>Sat</v>
      </c>
    </row>
    <row r="492" spans="1:12" x14ac:dyDescent="0.25">
      <c r="A492" t="s">
        <v>515</v>
      </c>
      <c r="B492" s="1">
        <v>46011</v>
      </c>
      <c r="C492" t="s">
        <v>28</v>
      </c>
      <c r="D492" t="s">
        <v>15</v>
      </c>
      <c r="E492" t="s">
        <v>16</v>
      </c>
      <c r="F492">
        <v>8</v>
      </c>
      <c r="G492">
        <v>3649</v>
      </c>
      <c r="H492">
        <v>29192</v>
      </c>
      <c r="I492">
        <v>8343.7199999999993</v>
      </c>
      <c r="J492">
        <f>YEAR(Table1[OrderDate])</f>
        <v>2025</v>
      </c>
      <c r="K492" t="str">
        <f>TEXT(Table1[[#This Row],[OrderDate]],"mmm")</f>
        <v>Dec</v>
      </c>
      <c r="L492" t="str">
        <f>TEXT(Table1[OrderDate],"ddd")</f>
        <v>Sat</v>
      </c>
    </row>
    <row r="493" spans="1:12" x14ac:dyDescent="0.25">
      <c r="A493" t="s">
        <v>516</v>
      </c>
      <c r="B493" s="1">
        <v>45864</v>
      </c>
      <c r="C493" t="s">
        <v>9</v>
      </c>
      <c r="D493" t="s">
        <v>10</v>
      </c>
      <c r="E493" t="s">
        <v>11</v>
      </c>
      <c r="F493">
        <v>10</v>
      </c>
      <c r="G493">
        <v>4167</v>
      </c>
      <c r="H493">
        <v>41670</v>
      </c>
      <c r="I493">
        <v>5801.36</v>
      </c>
      <c r="J493">
        <f>YEAR(Table1[OrderDate])</f>
        <v>2025</v>
      </c>
      <c r="K493" t="str">
        <f>TEXT(Table1[[#This Row],[OrderDate]],"mmm")</f>
        <v>Jul</v>
      </c>
      <c r="L493" t="str">
        <f>TEXT(Table1[OrderDate],"ddd")</f>
        <v>Sat</v>
      </c>
    </row>
    <row r="494" spans="1:12" x14ac:dyDescent="0.25">
      <c r="A494" t="s">
        <v>517</v>
      </c>
      <c r="B494" s="1">
        <v>45982</v>
      </c>
      <c r="C494" t="s">
        <v>28</v>
      </c>
      <c r="D494" t="s">
        <v>21</v>
      </c>
      <c r="E494" t="s">
        <v>88</v>
      </c>
      <c r="F494">
        <v>5</v>
      </c>
      <c r="G494">
        <v>4885</v>
      </c>
      <c r="H494">
        <v>24425</v>
      </c>
      <c r="I494">
        <v>2573.77</v>
      </c>
      <c r="J494">
        <f>YEAR(Table1[OrderDate])</f>
        <v>2025</v>
      </c>
      <c r="K494" t="str">
        <f>TEXT(Table1[[#This Row],[OrderDate]],"mmm")</f>
        <v>Nov</v>
      </c>
      <c r="L494" t="str">
        <f>TEXT(Table1[OrderDate],"ddd")</f>
        <v>Fri</v>
      </c>
    </row>
    <row r="495" spans="1:12" x14ac:dyDescent="0.25">
      <c r="A495" t="s">
        <v>518</v>
      </c>
      <c r="B495" s="1">
        <v>45923</v>
      </c>
      <c r="C495" t="s">
        <v>18</v>
      </c>
      <c r="D495" t="s">
        <v>15</v>
      </c>
      <c r="E495" t="s">
        <v>19</v>
      </c>
      <c r="F495">
        <v>2</v>
      </c>
      <c r="G495">
        <v>919</v>
      </c>
      <c r="H495">
        <v>1838</v>
      </c>
      <c r="I495">
        <v>363.79</v>
      </c>
      <c r="J495">
        <f>YEAR(Table1[OrderDate])</f>
        <v>2025</v>
      </c>
      <c r="K495" t="str">
        <f>TEXT(Table1[[#This Row],[OrderDate]],"mmm")</f>
        <v>Sep</v>
      </c>
      <c r="L495" t="str">
        <f>TEXT(Table1[OrderDate],"ddd")</f>
        <v>Tue</v>
      </c>
    </row>
    <row r="496" spans="1:12" x14ac:dyDescent="0.25">
      <c r="A496" t="s">
        <v>519</v>
      </c>
      <c r="B496" s="1">
        <v>45818</v>
      </c>
      <c r="C496" t="s">
        <v>9</v>
      </c>
      <c r="D496" t="s">
        <v>15</v>
      </c>
      <c r="E496" t="s">
        <v>80</v>
      </c>
      <c r="F496">
        <v>4</v>
      </c>
      <c r="G496">
        <v>972</v>
      </c>
      <c r="H496">
        <v>3888</v>
      </c>
      <c r="I496">
        <v>1147.1199999999999</v>
      </c>
      <c r="J496">
        <f>YEAR(Table1[OrderDate])</f>
        <v>2025</v>
      </c>
      <c r="K496" t="str">
        <f>TEXT(Table1[[#This Row],[OrderDate]],"mmm")</f>
        <v>Jun</v>
      </c>
      <c r="L496" t="str">
        <f>TEXT(Table1[OrderDate],"ddd")</f>
        <v>Tue</v>
      </c>
    </row>
    <row r="497" spans="1:12" x14ac:dyDescent="0.25">
      <c r="A497" t="s">
        <v>520</v>
      </c>
      <c r="B497" s="1">
        <v>45748</v>
      </c>
      <c r="C497" t="s">
        <v>28</v>
      </c>
      <c r="D497" t="s">
        <v>21</v>
      </c>
      <c r="E497" t="s">
        <v>45</v>
      </c>
      <c r="F497">
        <v>6</v>
      </c>
      <c r="G497">
        <v>326</v>
      </c>
      <c r="H497">
        <v>1956</v>
      </c>
      <c r="I497">
        <v>267.66000000000003</v>
      </c>
      <c r="J497">
        <f>YEAR(Table1[OrderDate])</f>
        <v>2025</v>
      </c>
      <c r="K497" t="str">
        <f>TEXT(Table1[[#This Row],[OrderDate]],"mmm")</f>
        <v>Apr</v>
      </c>
      <c r="L497" t="str">
        <f>TEXT(Table1[OrderDate],"ddd")</f>
        <v>Tue</v>
      </c>
    </row>
    <row r="498" spans="1:12" x14ac:dyDescent="0.25">
      <c r="A498" t="s">
        <v>521</v>
      </c>
      <c r="B498" s="1">
        <v>45823</v>
      </c>
      <c r="C498" t="s">
        <v>28</v>
      </c>
      <c r="D498" t="s">
        <v>21</v>
      </c>
      <c r="E498" t="s">
        <v>88</v>
      </c>
      <c r="F498">
        <v>1</v>
      </c>
      <c r="G498">
        <v>2277</v>
      </c>
      <c r="H498">
        <v>2277</v>
      </c>
      <c r="I498">
        <v>353.49</v>
      </c>
      <c r="J498">
        <f>YEAR(Table1[OrderDate])</f>
        <v>2025</v>
      </c>
      <c r="K498" t="str">
        <f>TEXT(Table1[[#This Row],[OrderDate]],"mmm")</f>
        <v>Jun</v>
      </c>
      <c r="L498" t="str">
        <f>TEXT(Table1[OrderDate],"ddd")</f>
        <v>Sun</v>
      </c>
    </row>
    <row r="499" spans="1:12" x14ac:dyDescent="0.25">
      <c r="A499" t="s">
        <v>522</v>
      </c>
      <c r="B499" s="1">
        <v>45668</v>
      </c>
      <c r="C499" t="s">
        <v>28</v>
      </c>
      <c r="D499" t="s">
        <v>15</v>
      </c>
      <c r="E499" t="s">
        <v>80</v>
      </c>
      <c r="F499">
        <v>1</v>
      </c>
      <c r="G499">
        <v>1714</v>
      </c>
      <c r="H499">
        <v>1714</v>
      </c>
      <c r="I499">
        <v>442.38</v>
      </c>
      <c r="J499">
        <f>YEAR(Table1[OrderDate])</f>
        <v>2025</v>
      </c>
      <c r="K499" t="str">
        <f>TEXT(Table1[[#This Row],[OrderDate]],"mmm")</f>
        <v>Jan</v>
      </c>
      <c r="L499" t="str">
        <f>TEXT(Table1[OrderDate],"ddd")</f>
        <v>Sat</v>
      </c>
    </row>
    <row r="500" spans="1:12" x14ac:dyDescent="0.25">
      <c r="A500" t="s">
        <v>523</v>
      </c>
      <c r="B500" s="1">
        <v>45755</v>
      </c>
      <c r="C500" t="s">
        <v>9</v>
      </c>
      <c r="D500" t="s">
        <v>21</v>
      </c>
      <c r="E500" t="s">
        <v>88</v>
      </c>
      <c r="F500">
        <v>9</v>
      </c>
      <c r="G500">
        <v>4350</v>
      </c>
      <c r="H500">
        <v>39150</v>
      </c>
      <c r="I500">
        <v>3429.11</v>
      </c>
      <c r="J500">
        <f>YEAR(Table1[OrderDate])</f>
        <v>2025</v>
      </c>
      <c r="K500" t="str">
        <f>TEXT(Table1[[#This Row],[OrderDate]],"mmm")</f>
        <v>Apr</v>
      </c>
      <c r="L500" t="str">
        <f>TEXT(Table1[OrderDate],"ddd")</f>
        <v>Tue</v>
      </c>
    </row>
    <row r="501" spans="1:12" x14ac:dyDescent="0.25">
      <c r="A501" t="s">
        <v>524</v>
      </c>
      <c r="B501" s="1">
        <v>45699</v>
      </c>
      <c r="C501" t="s">
        <v>18</v>
      </c>
      <c r="D501" t="s">
        <v>15</v>
      </c>
      <c r="E501" t="s">
        <v>19</v>
      </c>
      <c r="F501">
        <v>10</v>
      </c>
      <c r="G501">
        <v>3359</v>
      </c>
      <c r="H501">
        <v>33590</v>
      </c>
      <c r="I501">
        <v>6217.3</v>
      </c>
      <c r="J501">
        <f>YEAR(Table1[OrderDate])</f>
        <v>2025</v>
      </c>
      <c r="K501" t="str">
        <f>TEXT(Table1[[#This Row],[OrderDate]],"mmm")</f>
        <v>Feb</v>
      </c>
      <c r="L501" t="str">
        <f>TEXT(Table1[OrderDate],"ddd")</f>
        <v>Tue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pivot</vt:lpstr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2026-06-04T17:08:10Z</dcterms:created>
  <dcterms:modified xsi:type="dcterms:W3CDTF">2026-06-08T07:36:53Z</dcterms:modified>
</cp:coreProperties>
</file>